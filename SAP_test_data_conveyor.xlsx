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RAM - AI Agent - Input Module\Test\"/>
    </mc:Choice>
  </mc:AlternateContent>
  <xr:revisionPtr revIDLastSave="0" documentId="13_ncr:1_{532AA358-6B32-4A3F-9A16-5504F0985743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6" i="1" l="1"/>
  <c r="O214" i="1"/>
  <c r="H214" i="1"/>
  <c r="E214" i="1"/>
  <c r="D214" i="1"/>
  <c r="O213" i="1"/>
  <c r="H213" i="1"/>
  <c r="E213" i="1"/>
  <c r="D213" i="1"/>
  <c r="O212" i="1"/>
  <c r="H212" i="1"/>
  <c r="E212" i="1"/>
  <c r="D212" i="1"/>
  <c r="O211" i="1"/>
  <c r="H211" i="1"/>
  <c r="E211" i="1"/>
  <c r="D211" i="1"/>
  <c r="O210" i="1"/>
  <c r="H210" i="1"/>
  <c r="E210" i="1"/>
  <c r="D210" i="1"/>
  <c r="O209" i="1"/>
  <c r="H209" i="1"/>
  <c r="E209" i="1"/>
  <c r="D209" i="1"/>
  <c r="O208" i="1"/>
  <c r="H208" i="1"/>
  <c r="E208" i="1"/>
  <c r="D208" i="1"/>
  <c r="O207" i="1"/>
  <c r="H207" i="1"/>
  <c r="E207" i="1"/>
  <c r="D207" i="1"/>
  <c r="O206" i="1"/>
  <c r="H206" i="1"/>
  <c r="E206" i="1"/>
  <c r="D206" i="1"/>
  <c r="O205" i="1"/>
  <c r="H205" i="1"/>
  <c r="E205" i="1"/>
  <c r="D205" i="1"/>
  <c r="O204" i="1"/>
  <c r="H204" i="1"/>
  <c r="E204" i="1"/>
  <c r="D204" i="1"/>
  <c r="O203" i="1"/>
  <c r="H203" i="1"/>
  <c r="E203" i="1"/>
  <c r="D203" i="1"/>
  <c r="O202" i="1"/>
  <c r="H202" i="1"/>
  <c r="E202" i="1"/>
  <c r="D202" i="1"/>
  <c r="O201" i="1"/>
  <c r="H201" i="1"/>
  <c r="E201" i="1"/>
  <c r="D201" i="1"/>
  <c r="O200" i="1"/>
  <c r="H200" i="1"/>
  <c r="E200" i="1"/>
  <c r="D200" i="1"/>
  <c r="O199" i="1"/>
  <c r="H199" i="1"/>
  <c r="E199" i="1"/>
  <c r="D199" i="1"/>
  <c r="O198" i="1"/>
  <c r="H198" i="1"/>
  <c r="E198" i="1"/>
  <c r="D198" i="1"/>
  <c r="O197" i="1"/>
  <c r="H197" i="1"/>
  <c r="E197" i="1"/>
  <c r="D197" i="1"/>
  <c r="O196" i="1"/>
  <c r="H196" i="1"/>
  <c r="E196" i="1"/>
  <c r="D196" i="1"/>
  <c r="O195" i="1"/>
  <c r="H195" i="1"/>
  <c r="E195" i="1"/>
  <c r="D195" i="1"/>
  <c r="O194" i="1"/>
  <c r="H194" i="1"/>
  <c r="E194" i="1"/>
  <c r="D194" i="1"/>
  <c r="O193" i="1"/>
  <c r="H193" i="1"/>
  <c r="E193" i="1"/>
  <c r="D193" i="1"/>
  <c r="O192" i="1"/>
  <c r="H192" i="1"/>
  <c r="E192" i="1"/>
  <c r="D192" i="1"/>
  <c r="O191" i="1"/>
  <c r="H191" i="1"/>
  <c r="E191" i="1"/>
  <c r="D191" i="1"/>
  <c r="O190" i="1"/>
  <c r="H190" i="1"/>
  <c r="E190" i="1"/>
  <c r="D190" i="1"/>
  <c r="O189" i="1"/>
  <c r="H189" i="1"/>
  <c r="E189" i="1"/>
  <c r="D189" i="1"/>
  <c r="O188" i="1"/>
  <c r="H188" i="1"/>
  <c r="E188" i="1"/>
  <c r="D188" i="1"/>
  <c r="O187" i="1"/>
  <c r="H187" i="1"/>
  <c r="E187" i="1"/>
  <c r="D187" i="1"/>
  <c r="O186" i="1"/>
  <c r="H186" i="1"/>
  <c r="E186" i="1"/>
  <c r="D186" i="1"/>
  <c r="O185" i="1"/>
  <c r="H185" i="1"/>
  <c r="E185" i="1"/>
  <c r="D185" i="1"/>
  <c r="O184" i="1"/>
  <c r="H184" i="1"/>
  <c r="E184" i="1"/>
  <c r="D184" i="1"/>
  <c r="O183" i="1"/>
  <c r="H183" i="1"/>
  <c r="E183" i="1"/>
  <c r="D183" i="1"/>
  <c r="O182" i="1"/>
  <c r="H182" i="1"/>
  <c r="E182" i="1"/>
  <c r="D182" i="1"/>
  <c r="O181" i="1"/>
  <c r="H181" i="1"/>
  <c r="E181" i="1"/>
  <c r="D181" i="1"/>
  <c r="O180" i="1"/>
  <c r="H180" i="1"/>
  <c r="E180" i="1"/>
  <c r="D180" i="1"/>
  <c r="O179" i="1"/>
  <c r="H179" i="1"/>
  <c r="E179" i="1"/>
  <c r="D179" i="1"/>
  <c r="O178" i="1"/>
  <c r="H178" i="1"/>
  <c r="E178" i="1"/>
  <c r="D178" i="1"/>
  <c r="O177" i="1"/>
  <c r="H177" i="1"/>
  <c r="E177" i="1"/>
  <c r="D177" i="1"/>
  <c r="O176" i="1"/>
  <c r="H176" i="1"/>
  <c r="E176" i="1"/>
  <c r="D176" i="1"/>
  <c r="O175" i="1"/>
  <c r="H175" i="1"/>
  <c r="E175" i="1"/>
  <c r="D175" i="1"/>
  <c r="O174" i="1"/>
  <c r="H174" i="1"/>
  <c r="E174" i="1"/>
  <c r="D174" i="1"/>
  <c r="O173" i="1"/>
  <c r="H173" i="1"/>
  <c r="E173" i="1"/>
  <c r="D173" i="1"/>
  <c r="O172" i="1"/>
  <c r="H172" i="1"/>
  <c r="E172" i="1"/>
  <c r="D172" i="1"/>
  <c r="O171" i="1"/>
  <c r="H171" i="1"/>
  <c r="E171" i="1"/>
  <c r="D171" i="1"/>
  <c r="O170" i="1"/>
  <c r="H170" i="1"/>
  <c r="E170" i="1"/>
  <c r="D170" i="1"/>
  <c r="O169" i="1"/>
  <c r="H169" i="1"/>
  <c r="E169" i="1"/>
  <c r="D169" i="1"/>
  <c r="O168" i="1"/>
  <c r="H168" i="1"/>
  <c r="E168" i="1"/>
  <c r="D168" i="1"/>
  <c r="O167" i="1"/>
  <c r="H167" i="1"/>
  <c r="E167" i="1"/>
  <c r="D167" i="1"/>
  <c r="O166" i="1"/>
  <c r="H166" i="1"/>
  <c r="E166" i="1"/>
  <c r="D166" i="1"/>
  <c r="O165" i="1"/>
  <c r="H165" i="1"/>
  <c r="E165" i="1"/>
  <c r="D165" i="1"/>
  <c r="O164" i="1"/>
  <c r="H164" i="1"/>
  <c r="E164" i="1"/>
  <c r="D164" i="1"/>
  <c r="O163" i="1"/>
  <c r="H163" i="1"/>
  <c r="E163" i="1"/>
  <c r="D163" i="1"/>
  <c r="O162" i="1"/>
  <c r="H162" i="1"/>
  <c r="E162" i="1"/>
  <c r="D162" i="1"/>
  <c r="O161" i="1"/>
  <c r="H161" i="1"/>
  <c r="E161" i="1"/>
  <c r="D161" i="1"/>
  <c r="O160" i="1"/>
  <c r="H160" i="1"/>
  <c r="E160" i="1"/>
  <c r="D160" i="1"/>
  <c r="O159" i="1"/>
  <c r="H159" i="1"/>
  <c r="E159" i="1"/>
  <c r="D159" i="1"/>
  <c r="O158" i="1"/>
  <c r="H158" i="1"/>
  <c r="E158" i="1"/>
  <c r="D158" i="1"/>
  <c r="O157" i="1"/>
  <c r="H157" i="1"/>
  <c r="E157" i="1"/>
  <c r="D157" i="1"/>
  <c r="O156" i="1"/>
  <c r="H156" i="1"/>
  <c r="E156" i="1"/>
  <c r="D156" i="1"/>
  <c r="O155" i="1"/>
  <c r="H155" i="1"/>
  <c r="E155" i="1"/>
  <c r="D155" i="1"/>
  <c r="O154" i="1"/>
  <c r="H154" i="1"/>
  <c r="E154" i="1"/>
  <c r="D154" i="1"/>
  <c r="O153" i="1"/>
  <c r="H153" i="1"/>
  <c r="E153" i="1"/>
  <c r="D153" i="1"/>
  <c r="O152" i="1"/>
  <c r="H152" i="1"/>
  <c r="E152" i="1"/>
  <c r="D152" i="1"/>
  <c r="O151" i="1"/>
  <c r="H151" i="1"/>
  <c r="E151" i="1"/>
  <c r="D151" i="1"/>
  <c r="O150" i="1"/>
  <c r="H150" i="1"/>
  <c r="E150" i="1"/>
  <c r="D150" i="1"/>
  <c r="O149" i="1"/>
  <c r="H149" i="1"/>
  <c r="E149" i="1"/>
  <c r="D149" i="1"/>
  <c r="O148" i="1"/>
  <c r="H148" i="1"/>
  <c r="E148" i="1"/>
  <c r="D148" i="1"/>
  <c r="O147" i="1"/>
  <c r="H147" i="1"/>
  <c r="E147" i="1"/>
  <c r="D147" i="1"/>
  <c r="O146" i="1"/>
  <c r="H146" i="1"/>
  <c r="E146" i="1"/>
  <c r="D146" i="1"/>
  <c r="O145" i="1"/>
  <c r="H145" i="1"/>
  <c r="E145" i="1"/>
  <c r="D145" i="1"/>
  <c r="O144" i="1"/>
  <c r="H144" i="1"/>
  <c r="E144" i="1"/>
  <c r="D144" i="1"/>
  <c r="O143" i="1"/>
  <c r="H143" i="1"/>
  <c r="E143" i="1"/>
  <c r="D143" i="1"/>
  <c r="O142" i="1"/>
  <c r="H142" i="1"/>
  <c r="E142" i="1"/>
  <c r="D142" i="1"/>
  <c r="O141" i="1"/>
  <c r="H141" i="1"/>
  <c r="E141" i="1"/>
  <c r="D141" i="1"/>
  <c r="O140" i="1"/>
  <c r="H140" i="1"/>
  <c r="E140" i="1"/>
  <c r="D140" i="1"/>
  <c r="O139" i="1"/>
  <c r="H139" i="1"/>
  <c r="E139" i="1"/>
  <c r="D139" i="1"/>
  <c r="O138" i="1"/>
  <c r="H138" i="1"/>
  <c r="E138" i="1"/>
  <c r="D138" i="1"/>
  <c r="O137" i="1"/>
  <c r="H137" i="1"/>
  <c r="E137" i="1"/>
  <c r="D137" i="1"/>
  <c r="O136" i="1"/>
  <c r="H136" i="1"/>
  <c r="E136" i="1"/>
  <c r="D136" i="1"/>
  <c r="O135" i="1"/>
  <c r="H135" i="1"/>
  <c r="E135" i="1"/>
  <c r="D135" i="1"/>
  <c r="O134" i="1"/>
  <c r="H134" i="1"/>
  <c r="E134" i="1"/>
  <c r="D134" i="1"/>
  <c r="O133" i="1"/>
  <c r="H133" i="1"/>
  <c r="E133" i="1"/>
  <c r="D133" i="1"/>
  <c r="O132" i="1"/>
  <c r="H132" i="1"/>
  <c r="E132" i="1"/>
  <c r="D132" i="1"/>
  <c r="O131" i="1"/>
  <c r="H131" i="1"/>
  <c r="E131" i="1"/>
  <c r="D131" i="1"/>
  <c r="O130" i="1"/>
  <c r="H130" i="1"/>
  <c r="E130" i="1"/>
  <c r="D130" i="1"/>
  <c r="O129" i="1"/>
  <c r="H129" i="1"/>
  <c r="E129" i="1"/>
  <c r="D129" i="1"/>
  <c r="O128" i="1"/>
  <c r="H128" i="1"/>
  <c r="E128" i="1"/>
  <c r="D128" i="1"/>
  <c r="O127" i="1"/>
  <c r="H127" i="1"/>
  <c r="E127" i="1"/>
  <c r="D127" i="1"/>
  <c r="O126" i="1"/>
  <c r="H126" i="1"/>
  <c r="E126" i="1"/>
  <c r="D126" i="1"/>
  <c r="O125" i="1"/>
  <c r="H125" i="1"/>
  <c r="E125" i="1"/>
  <c r="D125" i="1"/>
  <c r="O124" i="1"/>
  <c r="H124" i="1"/>
  <c r="E124" i="1"/>
  <c r="D124" i="1"/>
  <c r="O123" i="1"/>
  <c r="H123" i="1"/>
  <c r="E123" i="1"/>
  <c r="D123" i="1"/>
  <c r="O122" i="1"/>
  <c r="H122" i="1"/>
  <c r="E122" i="1"/>
  <c r="D122" i="1"/>
  <c r="O121" i="1"/>
  <c r="H121" i="1"/>
  <c r="E121" i="1"/>
  <c r="D121" i="1"/>
  <c r="O120" i="1"/>
  <c r="H120" i="1"/>
  <c r="E120" i="1"/>
  <c r="D120" i="1"/>
  <c r="O119" i="1"/>
  <c r="H119" i="1"/>
  <c r="E119" i="1"/>
  <c r="D119" i="1"/>
  <c r="O118" i="1"/>
  <c r="H118" i="1"/>
  <c r="E118" i="1"/>
  <c r="D118" i="1"/>
  <c r="O117" i="1"/>
  <c r="H117" i="1"/>
  <c r="E117" i="1"/>
  <c r="D117" i="1"/>
  <c r="O116" i="1"/>
  <c r="H116" i="1"/>
  <c r="E116" i="1"/>
  <c r="D116" i="1"/>
  <c r="O115" i="1"/>
  <c r="H115" i="1"/>
  <c r="E115" i="1"/>
  <c r="D115" i="1"/>
  <c r="O114" i="1"/>
  <c r="H114" i="1"/>
  <c r="E114" i="1"/>
  <c r="D114" i="1"/>
  <c r="O113" i="1"/>
  <c r="H113" i="1"/>
  <c r="E113" i="1"/>
  <c r="D113" i="1"/>
  <c r="O112" i="1"/>
  <c r="H112" i="1"/>
  <c r="E112" i="1"/>
  <c r="D112" i="1"/>
  <c r="O111" i="1"/>
  <c r="H111" i="1"/>
  <c r="E111" i="1"/>
  <c r="D111" i="1"/>
  <c r="O110" i="1"/>
  <c r="H110" i="1"/>
  <c r="E110" i="1"/>
  <c r="D110" i="1"/>
  <c r="O109" i="1"/>
  <c r="H109" i="1"/>
  <c r="E109" i="1"/>
  <c r="D109" i="1"/>
  <c r="O108" i="1"/>
  <c r="H108" i="1"/>
  <c r="E108" i="1"/>
  <c r="D108" i="1"/>
  <c r="O107" i="1"/>
  <c r="H107" i="1"/>
  <c r="E107" i="1"/>
  <c r="D107" i="1"/>
  <c r="O106" i="1"/>
  <c r="H106" i="1"/>
  <c r="E106" i="1"/>
  <c r="D106" i="1"/>
  <c r="O105" i="1"/>
  <c r="H105" i="1"/>
  <c r="E105" i="1"/>
  <c r="D105" i="1"/>
  <c r="O104" i="1"/>
  <c r="H104" i="1"/>
  <c r="E104" i="1"/>
  <c r="D104" i="1"/>
  <c r="O103" i="1"/>
  <c r="H103" i="1"/>
  <c r="E103" i="1"/>
  <c r="D103" i="1"/>
  <c r="O102" i="1"/>
  <c r="H102" i="1"/>
  <c r="E102" i="1"/>
  <c r="D102" i="1"/>
  <c r="O101" i="1"/>
  <c r="H101" i="1"/>
  <c r="E101" i="1"/>
  <c r="D101" i="1"/>
  <c r="O100" i="1"/>
  <c r="H100" i="1"/>
  <c r="E100" i="1"/>
  <c r="D100" i="1"/>
  <c r="O99" i="1"/>
  <c r="H99" i="1"/>
  <c r="E99" i="1"/>
  <c r="D99" i="1"/>
  <c r="O98" i="1"/>
  <c r="H98" i="1"/>
  <c r="E98" i="1"/>
  <c r="D98" i="1"/>
  <c r="O97" i="1"/>
  <c r="H97" i="1"/>
  <c r="E97" i="1"/>
  <c r="D97" i="1"/>
  <c r="O96" i="1"/>
  <c r="H96" i="1"/>
  <c r="E96" i="1"/>
  <c r="D96" i="1"/>
  <c r="O95" i="1"/>
  <c r="H95" i="1"/>
  <c r="E95" i="1"/>
  <c r="D95" i="1"/>
  <c r="O94" i="1"/>
  <c r="H94" i="1"/>
  <c r="E94" i="1"/>
  <c r="D94" i="1"/>
  <c r="O93" i="1"/>
  <c r="H93" i="1"/>
  <c r="E93" i="1"/>
  <c r="D93" i="1"/>
  <c r="O92" i="1"/>
  <c r="H92" i="1"/>
  <c r="E92" i="1"/>
  <c r="D92" i="1"/>
  <c r="O91" i="1"/>
  <c r="H91" i="1"/>
  <c r="E91" i="1"/>
  <c r="D91" i="1"/>
  <c r="O90" i="1"/>
  <c r="H90" i="1"/>
  <c r="E90" i="1"/>
  <c r="D90" i="1"/>
  <c r="O89" i="1"/>
  <c r="H89" i="1"/>
  <c r="E89" i="1"/>
  <c r="D89" i="1"/>
  <c r="O88" i="1"/>
  <c r="H88" i="1"/>
  <c r="E88" i="1"/>
  <c r="D88" i="1"/>
  <c r="O87" i="1"/>
  <c r="H87" i="1"/>
  <c r="E87" i="1"/>
  <c r="D87" i="1"/>
  <c r="O86" i="1"/>
  <c r="H86" i="1"/>
  <c r="E86" i="1"/>
  <c r="D86" i="1"/>
  <c r="O85" i="1"/>
  <c r="H85" i="1"/>
  <c r="E85" i="1"/>
  <c r="D85" i="1"/>
  <c r="O84" i="1"/>
  <c r="H84" i="1"/>
  <c r="E84" i="1"/>
  <c r="D84" i="1"/>
  <c r="O83" i="1"/>
  <c r="H83" i="1"/>
  <c r="E83" i="1"/>
  <c r="D83" i="1"/>
  <c r="O82" i="1"/>
  <c r="H82" i="1"/>
  <c r="E82" i="1"/>
  <c r="D82" i="1"/>
  <c r="O81" i="1"/>
  <c r="H81" i="1"/>
  <c r="E81" i="1"/>
  <c r="D81" i="1"/>
  <c r="O80" i="1"/>
  <c r="H80" i="1"/>
  <c r="E80" i="1"/>
  <c r="D80" i="1"/>
  <c r="O79" i="1"/>
  <c r="H79" i="1"/>
  <c r="E79" i="1"/>
  <c r="D79" i="1"/>
  <c r="O78" i="1"/>
  <c r="H78" i="1"/>
  <c r="E78" i="1"/>
  <c r="D78" i="1"/>
  <c r="O77" i="1"/>
  <c r="H77" i="1"/>
  <c r="E77" i="1"/>
  <c r="D77" i="1"/>
  <c r="O76" i="1"/>
  <c r="H76" i="1"/>
  <c r="E76" i="1"/>
  <c r="D76" i="1"/>
  <c r="O75" i="1"/>
  <c r="H75" i="1"/>
  <c r="E75" i="1"/>
  <c r="D75" i="1"/>
  <c r="O74" i="1"/>
  <c r="H74" i="1"/>
  <c r="E74" i="1"/>
  <c r="D74" i="1"/>
  <c r="O73" i="1"/>
  <c r="H73" i="1"/>
  <c r="E73" i="1"/>
  <c r="D73" i="1"/>
  <c r="O72" i="1"/>
  <c r="H72" i="1"/>
  <c r="E72" i="1"/>
  <c r="D72" i="1"/>
  <c r="O71" i="1"/>
  <c r="H71" i="1"/>
  <c r="E71" i="1"/>
  <c r="D71" i="1"/>
  <c r="O70" i="1"/>
  <c r="H70" i="1"/>
  <c r="E70" i="1"/>
  <c r="D70" i="1"/>
  <c r="O69" i="1"/>
  <c r="H69" i="1"/>
  <c r="E69" i="1"/>
  <c r="D69" i="1"/>
  <c r="O68" i="1"/>
  <c r="H68" i="1"/>
  <c r="E68" i="1"/>
  <c r="D68" i="1"/>
  <c r="O67" i="1"/>
  <c r="H67" i="1"/>
  <c r="E67" i="1"/>
  <c r="D67" i="1"/>
  <c r="O66" i="1"/>
  <c r="H66" i="1"/>
  <c r="E66" i="1"/>
  <c r="D66" i="1"/>
  <c r="O65" i="1"/>
  <c r="H65" i="1"/>
  <c r="E65" i="1"/>
  <c r="D65" i="1"/>
  <c r="O64" i="1"/>
  <c r="H64" i="1"/>
  <c r="E64" i="1"/>
  <c r="D64" i="1"/>
  <c r="O63" i="1"/>
  <c r="H63" i="1"/>
  <c r="E63" i="1"/>
  <c r="D63" i="1"/>
  <c r="O62" i="1"/>
  <c r="H62" i="1"/>
  <c r="E62" i="1"/>
  <c r="D62" i="1"/>
  <c r="O61" i="1"/>
  <c r="H61" i="1"/>
  <c r="E61" i="1"/>
  <c r="D61" i="1"/>
  <c r="O60" i="1"/>
  <c r="H60" i="1"/>
  <c r="E60" i="1"/>
  <c r="D60" i="1"/>
  <c r="O59" i="1"/>
  <c r="H59" i="1"/>
  <c r="E59" i="1"/>
  <c r="D59" i="1"/>
  <c r="O58" i="1"/>
  <c r="H58" i="1"/>
  <c r="E58" i="1"/>
  <c r="D58" i="1"/>
  <c r="O57" i="1"/>
  <c r="H57" i="1"/>
  <c r="E57" i="1"/>
  <c r="D57" i="1"/>
  <c r="O56" i="1"/>
  <c r="H56" i="1"/>
  <c r="E56" i="1"/>
  <c r="D56" i="1"/>
  <c r="O55" i="1"/>
  <c r="H55" i="1"/>
  <c r="E55" i="1"/>
  <c r="D55" i="1"/>
  <c r="O54" i="1"/>
  <c r="H54" i="1"/>
  <c r="E54" i="1"/>
  <c r="D54" i="1"/>
  <c r="O53" i="1"/>
  <c r="H53" i="1"/>
  <c r="E53" i="1"/>
  <c r="D53" i="1"/>
  <c r="O52" i="1"/>
  <c r="H52" i="1"/>
  <c r="E52" i="1"/>
  <c r="D52" i="1"/>
  <c r="O51" i="1"/>
  <c r="H51" i="1"/>
  <c r="E51" i="1"/>
  <c r="D51" i="1"/>
  <c r="O50" i="1"/>
  <c r="H50" i="1"/>
  <c r="E50" i="1"/>
  <c r="D50" i="1"/>
  <c r="O49" i="1"/>
  <c r="H49" i="1"/>
  <c r="E49" i="1"/>
  <c r="D49" i="1"/>
  <c r="O48" i="1"/>
  <c r="H48" i="1"/>
  <c r="E48" i="1"/>
  <c r="D48" i="1"/>
  <c r="O47" i="1"/>
  <c r="H47" i="1"/>
  <c r="E47" i="1"/>
  <c r="D47" i="1"/>
  <c r="O46" i="1"/>
  <c r="H46" i="1"/>
  <c r="E46" i="1"/>
  <c r="D46" i="1"/>
  <c r="O45" i="1"/>
  <c r="H45" i="1"/>
  <c r="E45" i="1"/>
  <c r="D45" i="1"/>
  <c r="O44" i="1"/>
  <c r="H44" i="1"/>
  <c r="E44" i="1"/>
  <c r="D44" i="1"/>
  <c r="O43" i="1"/>
  <c r="H43" i="1"/>
  <c r="E43" i="1"/>
  <c r="D43" i="1"/>
  <c r="O42" i="1"/>
  <c r="H42" i="1"/>
  <c r="E42" i="1"/>
  <c r="D42" i="1"/>
  <c r="O41" i="1"/>
  <c r="H41" i="1"/>
  <c r="E41" i="1"/>
  <c r="D41" i="1"/>
  <c r="O40" i="1"/>
  <c r="H40" i="1"/>
  <c r="E40" i="1"/>
  <c r="D40" i="1"/>
  <c r="O39" i="1"/>
  <c r="H39" i="1"/>
  <c r="E39" i="1"/>
  <c r="D39" i="1"/>
  <c r="O38" i="1"/>
  <c r="H38" i="1"/>
  <c r="E38" i="1"/>
  <c r="D38" i="1"/>
  <c r="O37" i="1"/>
  <c r="H37" i="1"/>
  <c r="E37" i="1"/>
  <c r="D37" i="1"/>
  <c r="O36" i="1"/>
  <c r="H36" i="1"/>
  <c r="E36" i="1"/>
  <c r="D36" i="1"/>
  <c r="O35" i="1"/>
  <c r="H35" i="1"/>
  <c r="E35" i="1"/>
  <c r="D35" i="1"/>
  <c r="O34" i="1"/>
  <c r="H34" i="1"/>
  <c r="E34" i="1"/>
  <c r="D34" i="1"/>
  <c r="O33" i="1"/>
  <c r="H33" i="1"/>
  <c r="E33" i="1"/>
  <c r="D33" i="1"/>
  <c r="O32" i="1"/>
  <c r="H32" i="1"/>
  <c r="E32" i="1"/>
  <c r="D32" i="1"/>
  <c r="O31" i="1"/>
  <c r="H31" i="1"/>
  <c r="E31" i="1"/>
  <c r="D31" i="1"/>
  <c r="O30" i="1"/>
  <c r="H30" i="1"/>
  <c r="E30" i="1"/>
  <c r="D30" i="1"/>
  <c r="O29" i="1"/>
  <c r="H29" i="1"/>
  <c r="E29" i="1"/>
  <c r="D29" i="1"/>
  <c r="O28" i="1"/>
  <c r="H28" i="1"/>
  <c r="E28" i="1"/>
  <c r="D28" i="1"/>
  <c r="O27" i="1"/>
  <c r="H27" i="1"/>
  <c r="E27" i="1"/>
  <c r="D27" i="1"/>
  <c r="O26" i="1"/>
  <c r="H26" i="1"/>
  <c r="E26" i="1"/>
  <c r="D26" i="1"/>
  <c r="O25" i="1"/>
  <c r="H25" i="1"/>
  <c r="E25" i="1"/>
  <c r="D25" i="1"/>
  <c r="O24" i="1"/>
  <c r="H24" i="1"/>
  <c r="E24" i="1"/>
  <c r="D24" i="1"/>
  <c r="O23" i="1"/>
  <c r="H23" i="1"/>
  <c r="E23" i="1"/>
  <c r="D23" i="1"/>
  <c r="O22" i="1"/>
  <c r="H22" i="1"/>
  <c r="E22" i="1"/>
  <c r="D22" i="1"/>
  <c r="O21" i="1"/>
  <c r="H21" i="1"/>
  <c r="E21" i="1"/>
  <c r="D21" i="1"/>
  <c r="O20" i="1"/>
  <c r="H20" i="1"/>
  <c r="E20" i="1"/>
  <c r="D20" i="1"/>
  <c r="O19" i="1"/>
  <c r="H19" i="1"/>
  <c r="E19" i="1"/>
  <c r="D19" i="1"/>
  <c r="O18" i="1"/>
  <c r="H18" i="1"/>
  <c r="E18" i="1"/>
  <c r="D18" i="1"/>
  <c r="O17" i="1"/>
  <c r="H17" i="1"/>
  <c r="E17" i="1"/>
  <c r="D17" i="1"/>
  <c r="O16" i="1"/>
  <c r="H16" i="1"/>
  <c r="E16" i="1"/>
  <c r="D16" i="1"/>
  <c r="O15" i="1"/>
  <c r="H15" i="1"/>
  <c r="E15" i="1"/>
  <c r="D15" i="1"/>
  <c r="O14" i="1"/>
  <c r="H14" i="1"/>
  <c r="E14" i="1"/>
  <c r="D14" i="1"/>
  <c r="O13" i="1"/>
  <c r="H13" i="1"/>
  <c r="E13" i="1"/>
  <c r="D13" i="1"/>
  <c r="O12" i="1"/>
  <c r="H12" i="1"/>
  <c r="E12" i="1"/>
  <c r="D12" i="1"/>
  <c r="O11" i="1"/>
  <c r="H11" i="1"/>
  <c r="E11" i="1"/>
  <c r="D11" i="1"/>
  <c r="O10" i="1"/>
  <c r="H10" i="1"/>
  <c r="E10" i="1"/>
  <c r="D10" i="1"/>
  <c r="O9" i="1"/>
  <c r="H9" i="1"/>
  <c r="E9" i="1"/>
  <c r="D9" i="1"/>
  <c r="O8" i="1"/>
  <c r="H8" i="1"/>
  <c r="E8" i="1"/>
  <c r="D8" i="1"/>
  <c r="O7" i="1"/>
  <c r="H7" i="1"/>
  <c r="E7" i="1"/>
  <c r="D7" i="1"/>
  <c r="O6" i="1"/>
  <c r="H6" i="1"/>
  <c r="E6" i="1"/>
  <c r="D6" i="1"/>
  <c r="O5" i="1"/>
  <c r="H5" i="1"/>
  <c r="E5" i="1"/>
  <c r="D5" i="1"/>
  <c r="O4" i="1"/>
  <c r="H4" i="1"/>
  <c r="E4" i="1"/>
  <c r="D4" i="1"/>
  <c r="O3" i="1"/>
  <c r="H3" i="1"/>
  <c r="E3" i="1"/>
  <c r="D3" i="1"/>
  <c r="O2" i="1"/>
  <c r="H2" i="1"/>
  <c r="E2" i="1"/>
  <c r="D2" i="1"/>
</calcChain>
</file>

<file path=xl/sharedStrings.xml><?xml version="1.0" encoding="utf-8"?>
<sst xmlns="http://schemas.openxmlformats.org/spreadsheetml/2006/main" count="2790" uniqueCount="852">
  <si>
    <t>Notification</t>
  </si>
  <si>
    <t>Description</t>
  </si>
  <si>
    <t>Functional Loc.</t>
  </si>
  <si>
    <t>Conveyor Name</t>
  </si>
  <si>
    <t>Type</t>
  </si>
  <si>
    <t>Running Skew.</t>
  </si>
  <si>
    <t>Conveyor Is Running Skew.</t>
  </si>
  <si>
    <t>Shows Underspeed.</t>
  </si>
  <si>
    <t>Exxaro Classification</t>
  </si>
  <si>
    <t xml:space="preserve">Equipment Downtime </t>
  </si>
  <si>
    <t>C&amp;I + Tracking Breakdown</t>
  </si>
  <si>
    <t>Plant</t>
  </si>
  <si>
    <t>Created By</t>
  </si>
  <si>
    <t>Notif.date</t>
  </si>
  <si>
    <t>System status</t>
  </si>
  <si>
    <t>Breakdown</t>
  </si>
  <si>
    <t>Breakdown dur.</t>
  </si>
  <si>
    <t>Breakdown Dur Check</t>
  </si>
  <si>
    <t>Malfunct. start</t>
  </si>
  <si>
    <t>Start Malfn (T)</t>
  </si>
  <si>
    <t>Malfunct.end</t>
  </si>
  <si>
    <t>Malfunction end</t>
  </si>
  <si>
    <t>MaintPlant</t>
  </si>
  <si>
    <t>Planner group</t>
  </si>
  <si>
    <t>601181628</t>
  </si>
  <si>
    <t>ECG-P02-579-CRP-CNV-080-BET-001</t>
  </si>
  <si>
    <t>Belt</t>
  </si>
  <si>
    <t>Tracking Fault</t>
  </si>
  <si>
    <t>GG2.6</t>
  </si>
  <si>
    <t>20011658</t>
  </si>
  <si>
    <t>NOCO</t>
  </si>
  <si>
    <t>X</t>
  </si>
  <si>
    <t>20:55:01</t>
  </si>
  <si>
    <t>21:30:00</t>
  </si>
  <si>
    <t>GP02</t>
  </si>
  <si>
    <t>G10</t>
  </si>
  <si>
    <t>601057365</t>
  </si>
  <si>
    <t>Return Roller 140 R66 Is Broken.</t>
  </si>
  <si>
    <t>Idler</t>
  </si>
  <si>
    <t>20014088</t>
  </si>
  <si>
    <t>18:53:00</t>
  </si>
  <si>
    <t>19:30:00</t>
  </si>
  <si>
    <t>601177410</t>
  </si>
  <si>
    <t>Blockchute LSH088 Active</t>
  </si>
  <si>
    <t>ECG-P02-579-CRP-CNV-080-CHU-001</t>
  </si>
  <si>
    <t>Chute</t>
  </si>
  <si>
    <t>C&amp;I</t>
  </si>
  <si>
    <t>20011931</t>
  </si>
  <si>
    <t>23:16:36</t>
  </si>
  <si>
    <t>02:00:25</t>
  </si>
  <si>
    <t>G11</t>
  </si>
  <si>
    <t>601195978</t>
  </si>
  <si>
    <t>Conveyor Shows Block Chute</t>
  </si>
  <si>
    <t>ECG-P02-579-CRP-CNV-080-ELE-PNL-001</t>
  </si>
  <si>
    <t>Electrical</t>
  </si>
  <si>
    <t>6509974</t>
  </si>
  <si>
    <t>22:02:20</t>
  </si>
  <si>
    <t>23:20:00</t>
  </si>
  <si>
    <t>G07</t>
  </si>
  <si>
    <t>601051364</t>
  </si>
  <si>
    <t>Conveyor Came Out On Underspeed</t>
  </si>
  <si>
    <t>09:53:19</t>
  </si>
  <si>
    <t>10:30:33</t>
  </si>
  <si>
    <t>601124713</t>
  </si>
  <si>
    <t>Block Chute Active.</t>
  </si>
  <si>
    <t>20065976</t>
  </si>
  <si>
    <t>23:55:00</t>
  </si>
  <si>
    <t>00:30:00</t>
  </si>
  <si>
    <t>601190528</t>
  </si>
  <si>
    <t>Conveyor Shows Retain Fault</t>
  </si>
  <si>
    <t>19:05:04</t>
  </si>
  <si>
    <t>21:05:53</t>
  </si>
  <si>
    <t>601171579</t>
  </si>
  <si>
    <t>Lockout</t>
  </si>
  <si>
    <t>20111856</t>
  </si>
  <si>
    <t>14:59:00</t>
  </si>
  <si>
    <t>15:20:00</t>
  </si>
  <si>
    <t>601186404</t>
  </si>
  <si>
    <t>22:36:33</t>
  </si>
  <si>
    <t>22:50:06</t>
  </si>
  <si>
    <t>601061330</t>
  </si>
  <si>
    <t>Chute Fail To Open.</t>
  </si>
  <si>
    <t>22:03:24</t>
  </si>
  <si>
    <t>23:50:03</t>
  </si>
  <si>
    <t>601204193</t>
  </si>
  <si>
    <t>Conveyor Start Up Alarm Active</t>
  </si>
  <si>
    <t>21:16:43</t>
  </si>
  <si>
    <t>22:34:04</t>
  </si>
  <si>
    <t>601120464</t>
  </si>
  <si>
    <t>19:55:03</t>
  </si>
  <si>
    <t>20:40:28</t>
  </si>
  <si>
    <t>601262999</t>
  </si>
  <si>
    <t>Retain Fault.</t>
  </si>
  <si>
    <t>15:47:20</t>
  </si>
  <si>
    <t>16:05:02</t>
  </si>
  <si>
    <t>601204824</t>
  </si>
  <si>
    <t>Blockchute Active LSH008.</t>
  </si>
  <si>
    <t>ECG-P02-579-CRP-CNV-080-ELE-PNL-002</t>
  </si>
  <si>
    <t>21:46:00</t>
  </si>
  <si>
    <t>00:20:00</t>
  </si>
  <si>
    <t>601035749</t>
  </si>
  <si>
    <t>Tripped With Retain Fault</t>
  </si>
  <si>
    <t>20013361</t>
  </si>
  <si>
    <t>14:21:00</t>
  </si>
  <si>
    <t>14:51:00</t>
  </si>
  <si>
    <t>601149679</t>
  </si>
  <si>
    <t>Blocked Chute</t>
  </si>
  <si>
    <t>07:48:00</t>
  </si>
  <si>
    <t>09:10:00</t>
  </si>
  <si>
    <t>601029762</t>
  </si>
  <si>
    <t>Tripped With Blockchute</t>
  </si>
  <si>
    <t>15:29:00</t>
  </si>
  <si>
    <t>18:00:00</t>
  </si>
  <si>
    <t>601153123</t>
  </si>
  <si>
    <t>Conveyor Shows Underspeed</t>
  </si>
  <si>
    <t>ECG-P02-579-CRP-CNV-080-ELE-SWH-001</t>
  </si>
  <si>
    <t>11:58:00</t>
  </si>
  <si>
    <t>13:10:00</t>
  </si>
  <si>
    <t>601064484</t>
  </si>
  <si>
    <t>09:26:20</t>
  </si>
  <si>
    <t>09:40:22</t>
  </si>
  <si>
    <t>601158455</t>
  </si>
  <si>
    <t>Blockchute Was Active</t>
  </si>
  <si>
    <t>ECG-P02-579-CRP-CNV-080-INE-TSM-001</t>
  </si>
  <si>
    <t>Instrumentation</t>
  </si>
  <si>
    <t>21:58:02</t>
  </si>
  <si>
    <t>23:00:36</t>
  </si>
  <si>
    <t>601203155</t>
  </si>
  <si>
    <t>Block Chute Is Active.</t>
  </si>
  <si>
    <t>20:20:24</t>
  </si>
  <si>
    <t>02:00:50</t>
  </si>
  <si>
    <t>601229132</t>
  </si>
  <si>
    <t>Conveyor Shows Belt Tear At Head</t>
  </si>
  <si>
    <t>ECG-P02-579-CRP-CNV-100-BET-001</t>
  </si>
  <si>
    <t>20016861</t>
  </si>
  <si>
    <t>00:06:00</t>
  </si>
  <si>
    <t>01:20:00</t>
  </si>
  <si>
    <t>601057890</t>
  </si>
  <si>
    <t>09:15:00</t>
  </si>
  <si>
    <t>09:45:00</t>
  </si>
  <si>
    <t>601067739</t>
  </si>
  <si>
    <t>Conveyor showa general sima code</t>
  </si>
  <si>
    <t>20081523</t>
  </si>
  <si>
    <t>23:40:35</t>
  </si>
  <si>
    <t>00:46:53</t>
  </si>
  <si>
    <t>601079486</t>
  </si>
  <si>
    <t>Structural Component</t>
  </si>
  <si>
    <t>13:43:00</t>
  </si>
  <si>
    <t>14:15:00</t>
  </si>
  <si>
    <t>601068675</t>
  </si>
  <si>
    <t>Tripped With Underspeed</t>
  </si>
  <si>
    <t>22:11:00</t>
  </si>
  <si>
    <t>22:41:00</t>
  </si>
  <si>
    <t>601184017</t>
  </si>
  <si>
    <t>Belt Alignment</t>
  </si>
  <si>
    <t>15:24:45</t>
  </si>
  <si>
    <t>20:00:58</t>
  </si>
  <si>
    <t>601014972</t>
  </si>
  <si>
    <t>Roller R47 At The Take-Up Is Damaged</t>
  </si>
  <si>
    <t>Pulley</t>
  </si>
  <si>
    <t>19:30:44</t>
  </si>
  <si>
    <t>01:14:23</t>
  </si>
  <si>
    <t>601178055</t>
  </si>
  <si>
    <t>Return Roller At The Head Is Damaged</t>
  </si>
  <si>
    <t>20099169</t>
  </si>
  <si>
    <t>21:40:00</t>
  </si>
  <si>
    <t>04:40:00</t>
  </si>
  <si>
    <t>601247832</t>
  </si>
  <si>
    <t>Shows Block Chute</t>
  </si>
  <si>
    <t>ECG-P02-579-CRP-CNV-100-CHU-001</t>
  </si>
  <si>
    <t>20110614</t>
  </si>
  <si>
    <t>NOCO NOPT</t>
  </si>
  <si>
    <t>09:02:00</t>
  </si>
  <si>
    <t>09:30:00</t>
  </si>
  <si>
    <t>601266607</t>
  </si>
  <si>
    <t>Chute Has A Hole</t>
  </si>
  <si>
    <t>07:50:02</t>
  </si>
  <si>
    <t>08:03:34</t>
  </si>
  <si>
    <t>600947279</t>
  </si>
  <si>
    <t>Frozen Contactor</t>
  </si>
  <si>
    <t>ECG-P02-579-CRP-CNV-100-ELE-MOT-001</t>
  </si>
  <si>
    <t>20090042</t>
  </si>
  <si>
    <t>00:49:00</t>
  </si>
  <si>
    <t>01:10:00</t>
  </si>
  <si>
    <t>600959770</t>
  </si>
  <si>
    <t>Conveyor  Shows Frozen Contact</t>
  </si>
  <si>
    <t>09:00:20</t>
  </si>
  <si>
    <t>10:00:12</t>
  </si>
  <si>
    <t>600993361</t>
  </si>
  <si>
    <t>Conveyor Shows No Interlock</t>
  </si>
  <si>
    <t>ECG-P02-579-CRP-CNV-100-ELE-PNL-001</t>
  </si>
  <si>
    <t>15:40:52</t>
  </si>
  <si>
    <t>16:21:29</t>
  </si>
  <si>
    <t>600968843</t>
  </si>
  <si>
    <t>Tons  Exceed Set Point</t>
  </si>
  <si>
    <t>12:15:33</t>
  </si>
  <si>
    <t>12:48:08</t>
  </si>
  <si>
    <t>601190529</t>
  </si>
  <si>
    <t>Conveyor Shows Sima Code Fault</t>
  </si>
  <si>
    <t>19:05:19</t>
  </si>
  <si>
    <t>21:05:36</t>
  </si>
  <si>
    <t>600988204</t>
  </si>
  <si>
    <t>Conveyor Does Not Want To Reset Belt</t>
  </si>
  <si>
    <t>10:00:57</t>
  </si>
  <si>
    <t>10:40:12</t>
  </si>
  <si>
    <t>600956097</t>
  </si>
  <si>
    <t>Conveyor Shows CVO.</t>
  </si>
  <si>
    <t>15:55:58</t>
  </si>
  <si>
    <t>16:30:59</t>
  </si>
  <si>
    <t>601081205</t>
  </si>
  <si>
    <t>Conveyor Shows Pullwire HS001A</t>
  </si>
  <si>
    <t>13:22:26</t>
  </si>
  <si>
    <t>16:15:35</t>
  </si>
  <si>
    <t>600909686</t>
  </si>
  <si>
    <t>Conveyor has Alarm.</t>
  </si>
  <si>
    <t>20083031</t>
  </si>
  <si>
    <t>21:10:29</t>
  </si>
  <si>
    <t>21:30:38</t>
  </si>
  <si>
    <t>601121057</t>
  </si>
  <si>
    <t>Pull-wire Is Active.</t>
  </si>
  <si>
    <t>18:50:49</t>
  </si>
  <si>
    <t>20:20:51</t>
  </si>
  <si>
    <t>601137237</t>
  </si>
  <si>
    <t>HS005B Pullwire Active.</t>
  </si>
  <si>
    <t>22:18:15</t>
  </si>
  <si>
    <t>22:43:45</t>
  </si>
  <si>
    <t>601027515</t>
  </si>
  <si>
    <t>Conveyor Tripped With Belt Alignment.</t>
  </si>
  <si>
    <t>20:45:37</t>
  </si>
  <si>
    <t>21:27:18</t>
  </si>
  <si>
    <t>601230712</t>
  </si>
  <si>
    <t>Belt Tear YS002 Active At The Head</t>
  </si>
  <si>
    <t>19:22:25</t>
  </si>
  <si>
    <t>20:30:27</t>
  </si>
  <si>
    <t>601199467</t>
  </si>
  <si>
    <t>ECG-P02-579-CRP-CNV-100-ELE-PNL-002</t>
  </si>
  <si>
    <t>01:00:00</t>
  </si>
  <si>
    <t>02:10:00</t>
  </si>
  <si>
    <t>600994327</t>
  </si>
  <si>
    <t>Shows Belt Misalignment XS001.</t>
  </si>
  <si>
    <t>09:11:00</t>
  </si>
  <si>
    <t>09:55:00</t>
  </si>
  <si>
    <t>600963372</t>
  </si>
  <si>
    <t>Belt Alignment Does Not reset</t>
  </si>
  <si>
    <t>15:23:00</t>
  </si>
  <si>
    <t>15:53:00</t>
  </si>
  <si>
    <t>600994330</t>
  </si>
  <si>
    <t>10:25:00</t>
  </si>
  <si>
    <t>12:25:00</t>
  </si>
  <si>
    <t>600947953</t>
  </si>
  <si>
    <t>Conveyor Shows Underspeed.</t>
  </si>
  <si>
    <t>ECG-P02-579-CRP-CNV-100-ELE-SWH-001</t>
  </si>
  <si>
    <t>00:45:51</t>
  </si>
  <si>
    <t>01:10:23</t>
  </si>
  <si>
    <t>601072811</t>
  </si>
  <si>
    <t>Roller Is Making Noise</t>
  </si>
  <si>
    <t>ECG-P02-579-CRP-CNV-100-IDL-001</t>
  </si>
  <si>
    <t>20:41:00</t>
  </si>
  <si>
    <t>22:45:00</t>
  </si>
  <si>
    <t>601040477</t>
  </si>
  <si>
    <t>Return Roller Has Sparks</t>
  </si>
  <si>
    <t>ECG-P02-579-CRP-CNV-100-IDL-002</t>
  </si>
  <si>
    <t>20:59:00</t>
  </si>
  <si>
    <t>21:59:00</t>
  </si>
  <si>
    <t>601122342</t>
  </si>
  <si>
    <t>ECG-P02-579-CRP-CNV-100-INE-DTE-002</t>
  </si>
  <si>
    <t>07:45:06</t>
  </si>
  <si>
    <t>08:20:39</t>
  </si>
  <si>
    <t>601025555</t>
  </si>
  <si>
    <t>Roller Between 148 And 149 Is Damaged.</t>
  </si>
  <si>
    <t>ECG-P02-579-CRP-CNV-120-BET-001</t>
  </si>
  <si>
    <t>08:00:00</t>
  </si>
  <si>
    <t>08:30:00</t>
  </si>
  <si>
    <t>601031068</t>
  </si>
  <si>
    <t>FROZEN CONTACTOR</t>
  </si>
  <si>
    <t>16:27:00</t>
  </si>
  <si>
    <t>16:35:00</t>
  </si>
  <si>
    <t>601256200</t>
  </si>
  <si>
    <t>Ask For Lockout.</t>
  </si>
  <si>
    <t>08:47:00</t>
  </si>
  <si>
    <t>09:00:00</t>
  </si>
  <si>
    <t>601184073</t>
  </si>
  <si>
    <t>03:23:49</t>
  </si>
  <si>
    <t>04:18:32</t>
  </si>
  <si>
    <t>601180599</t>
  </si>
  <si>
    <t>Belt Has 10m Tear</t>
  </si>
  <si>
    <t>18:00:12</t>
  </si>
  <si>
    <t>20:15:00</t>
  </si>
  <si>
    <t>601219446</t>
  </si>
  <si>
    <t>23:51:00</t>
  </si>
  <si>
    <t>601180672</t>
  </si>
  <si>
    <t>Piece Of Conveyor Is Off.</t>
  </si>
  <si>
    <t>00:40:55</t>
  </si>
  <si>
    <t>01:12:25</t>
  </si>
  <si>
    <t>601169041</t>
  </si>
  <si>
    <t>Conveyor Shows Frozen Contactor</t>
  </si>
  <si>
    <t>ECG-P02-579-CRP-CNV-120-ELE-PNL-001</t>
  </si>
  <si>
    <t>18:34:08</t>
  </si>
  <si>
    <t>19:30:15</t>
  </si>
  <si>
    <t>601122348</t>
  </si>
  <si>
    <t>Conveyor Comes Out With Underspeed</t>
  </si>
  <si>
    <t>18:53:44</t>
  </si>
  <si>
    <t>19:30:02</t>
  </si>
  <si>
    <t>601248006</t>
  </si>
  <si>
    <t>Frozen Contactor.</t>
  </si>
  <si>
    <t>04:19:22</t>
  </si>
  <si>
    <t>04:56:15</t>
  </si>
  <si>
    <t>601225437</t>
  </si>
  <si>
    <t>08:22:16</t>
  </si>
  <si>
    <t>10:10:02</t>
  </si>
  <si>
    <t>601262998</t>
  </si>
  <si>
    <t>General Sima-code Fault.</t>
  </si>
  <si>
    <t>15:46:08</t>
  </si>
  <si>
    <t>16:05:35</t>
  </si>
  <si>
    <t>601114439</t>
  </si>
  <si>
    <t>Alarm Is Active.</t>
  </si>
  <si>
    <t>19:20:34</t>
  </si>
  <si>
    <t>20:26:40</t>
  </si>
  <si>
    <t>601200285</t>
  </si>
  <si>
    <t>Conveyor Alarm Kepps On Active.</t>
  </si>
  <si>
    <t>19:48:19</t>
  </si>
  <si>
    <t>20:06:30</t>
  </si>
  <si>
    <t>601190540</t>
  </si>
  <si>
    <t>19:05:10</t>
  </si>
  <si>
    <t>21:05:44</t>
  </si>
  <si>
    <t>601271560</t>
  </si>
  <si>
    <t>Conveyor MCB And Field Bus Error Trip</t>
  </si>
  <si>
    <t>23:24:58</t>
  </si>
  <si>
    <t>00:00:45</t>
  </si>
  <si>
    <t>601267982</t>
  </si>
  <si>
    <t>ECG-P02-579-CRP-CNV-120-ELE-PNL-002</t>
  </si>
  <si>
    <t>20013194</t>
  </si>
  <si>
    <t>21:12:00</t>
  </si>
  <si>
    <t>21:50:00</t>
  </si>
  <si>
    <t>601224869</t>
  </si>
  <si>
    <t>Blockchute Trip</t>
  </si>
  <si>
    <t>04:30:00</t>
  </si>
  <si>
    <t>601225389</t>
  </si>
  <si>
    <t>Probe LSH181 Inside Chute Does Not Want</t>
  </si>
  <si>
    <t>ECG-P02-579-CRP-CNV-120-INE-MET-001</t>
  </si>
  <si>
    <t>23:58:20</t>
  </si>
  <si>
    <t>01:00:51</t>
  </si>
  <si>
    <t>601241046</t>
  </si>
  <si>
    <t>LSH182 Block Chute Is Active.</t>
  </si>
  <si>
    <t>ECG-P02-579-CRP-CNV-120-INE-TSM-001</t>
  </si>
  <si>
    <t>10:20:25</t>
  </si>
  <si>
    <t>11:12:43</t>
  </si>
  <si>
    <t>601225597</t>
  </si>
  <si>
    <t>11:21:07</t>
  </si>
  <si>
    <t>11:45:00</t>
  </si>
  <si>
    <t>601029781</t>
  </si>
  <si>
    <t>RUNNING SCEW</t>
  </si>
  <si>
    <t>ECG-P02-579-CRP-CNV-140-BET-001</t>
  </si>
  <si>
    <t>21:47:00</t>
  </si>
  <si>
    <t>22:15:00</t>
  </si>
  <si>
    <t>601259138</t>
  </si>
  <si>
    <t>08:55:02</t>
  </si>
  <si>
    <t>600953043</t>
  </si>
  <si>
    <t>Belt is underspeed</t>
  </si>
  <si>
    <t>19:05:49</t>
  </si>
  <si>
    <t>19:30:53</t>
  </si>
  <si>
    <t>600897106</t>
  </si>
  <si>
    <t>22:18:50</t>
  </si>
  <si>
    <t>23:33:38</t>
  </si>
  <si>
    <t>600923951</t>
  </si>
  <si>
    <t>09:24:00</t>
  </si>
  <si>
    <t>09:36:00</t>
  </si>
  <si>
    <t>601190541</t>
  </si>
  <si>
    <t>ECG-P02-579-CRP-CNV-140-ELE-PNL-001</t>
  </si>
  <si>
    <t>19:05:53</t>
  </si>
  <si>
    <t>21:06:17</t>
  </si>
  <si>
    <t>600917142</t>
  </si>
  <si>
    <t>Pull Wire A Active</t>
  </si>
  <si>
    <t>20065972</t>
  </si>
  <si>
    <t>18:29:00</t>
  </si>
  <si>
    <t>601263040</t>
  </si>
  <si>
    <t>Underspeed Trip.</t>
  </si>
  <si>
    <t>15:48:41</t>
  </si>
  <si>
    <t>16:05:51</t>
  </si>
  <si>
    <t>601184030</t>
  </si>
  <si>
    <t>Belt Tear Tail</t>
  </si>
  <si>
    <t>17:03:29</t>
  </si>
  <si>
    <t>20:20:07</t>
  </si>
  <si>
    <t>601249877</t>
  </si>
  <si>
    <t>Shows Block Chute But Clean Outside</t>
  </si>
  <si>
    <t>ECG-P02-579-CRP-CNV-140-ELE-PNL-002</t>
  </si>
  <si>
    <t>18:38:00</t>
  </si>
  <si>
    <t>600951492</t>
  </si>
  <si>
    <t>Flopper Chute Does Not Show Limit</t>
  </si>
  <si>
    <t>02:35:33</t>
  </si>
  <si>
    <t>03:00:25</t>
  </si>
  <si>
    <t>600955297</t>
  </si>
  <si>
    <t>ECG-P02-579-CRP-CNV-140-ELE-SWH-001</t>
  </si>
  <si>
    <t>10:34:30</t>
  </si>
  <si>
    <t>11:00:45</t>
  </si>
  <si>
    <t>600909677</t>
  </si>
  <si>
    <t>02:30:45</t>
  </si>
  <si>
    <t>03:34:09</t>
  </si>
  <si>
    <t>601083531</t>
  </si>
  <si>
    <t>Block Chute</t>
  </si>
  <si>
    <t>ECG-P02-579-CRP-CNV-140-INE-DTE-002</t>
  </si>
  <si>
    <t>08:23:00</t>
  </si>
  <si>
    <t>601145823</t>
  </si>
  <si>
    <t>17:10:00</t>
  </si>
  <si>
    <t>22:00:00</t>
  </si>
  <si>
    <t>601163677</t>
  </si>
  <si>
    <t>Tripped On Belt Alignment At Tail</t>
  </si>
  <si>
    <t>ECG-P02-579-SRP-CNV-440-BET-001</t>
  </si>
  <si>
    <t>20079337</t>
  </si>
  <si>
    <t>07:06:00</t>
  </si>
  <si>
    <t>07:55:00</t>
  </si>
  <si>
    <t>G09</t>
  </si>
  <si>
    <t>601236560</t>
  </si>
  <si>
    <t>XV482 Valve Fail To Open.</t>
  </si>
  <si>
    <t>Hydraulic</t>
  </si>
  <si>
    <t>00:08:49</t>
  </si>
  <si>
    <t>00:45:17</t>
  </si>
  <si>
    <t>600988281</t>
  </si>
  <si>
    <t>Trips On Belt Tear</t>
  </si>
  <si>
    <t>23:44:00</t>
  </si>
  <si>
    <t>00:48:00</t>
  </si>
  <si>
    <t>601036583</t>
  </si>
  <si>
    <t>Conveyor Runs Skew At The Head</t>
  </si>
  <si>
    <t>06:49:04</t>
  </si>
  <si>
    <t>07:30:12</t>
  </si>
  <si>
    <t>600926371</t>
  </si>
  <si>
    <t>Head Chute Valves XV482 And XV483</t>
  </si>
  <si>
    <t>ECG-P02-579-SRP-CNV-440-CHU-001</t>
  </si>
  <si>
    <t>15:49:49</t>
  </si>
  <si>
    <t>16:48:17</t>
  </si>
  <si>
    <t>601028712</t>
  </si>
  <si>
    <t>Belt Tear Head.</t>
  </si>
  <si>
    <t>ECG-P02-579-SRP-CNV-440-ELE-PNL-001</t>
  </si>
  <si>
    <t>07:00:00</t>
  </si>
  <si>
    <t>07:57:43</t>
  </si>
  <si>
    <t>601099894</t>
  </si>
  <si>
    <t>Module 33 Conveyor Shows Pullwire E</t>
  </si>
  <si>
    <t>01:20:57</t>
  </si>
  <si>
    <t>02:00:28</t>
  </si>
  <si>
    <t>601116831</t>
  </si>
  <si>
    <t>Blockchute At Head Chute Active.</t>
  </si>
  <si>
    <t>ECG-P02-579-SRP-CNV-440-ELE-PNL-002</t>
  </si>
  <si>
    <t>20:31:00</t>
  </si>
  <si>
    <t>21:00:00</t>
  </si>
  <si>
    <t>601238326</t>
  </si>
  <si>
    <t>Valve XV482 Does Not Want To Open</t>
  </si>
  <si>
    <t>ECG-P02-579-SRP-CNV-440-HYD-MOT-001</t>
  </si>
  <si>
    <t>19:06:24</t>
  </si>
  <si>
    <t>20:50:43</t>
  </si>
  <si>
    <t>601036591</t>
  </si>
  <si>
    <t>Return Roller At The Head Is Out</t>
  </si>
  <si>
    <t>ECG-P02-579-SRP-CNV-440-IDL-002</t>
  </si>
  <si>
    <t>09:45:43</t>
  </si>
  <si>
    <t>11:43:43</t>
  </si>
  <si>
    <t>601224887</t>
  </si>
  <si>
    <t>Scale WIT403 Belt Wire Brake High high</t>
  </si>
  <si>
    <t>ECG-P02-579-SRP-CNV-440-INE-MET-001</t>
  </si>
  <si>
    <t>02:00:00</t>
  </si>
  <si>
    <t>601100275</t>
  </si>
  <si>
    <t>Scale Not Reading</t>
  </si>
  <si>
    <t>15:00:00</t>
  </si>
  <si>
    <t>16:00:00</t>
  </si>
  <si>
    <t>600945238</t>
  </si>
  <si>
    <t>Scrapper Is Spilling Material</t>
  </si>
  <si>
    <t>ECG-P02-579-SRP-CNV-440-SCA-001</t>
  </si>
  <si>
    <t>Scraper</t>
  </si>
  <si>
    <t>10:57:15</t>
  </si>
  <si>
    <t>11:26:44</t>
  </si>
  <si>
    <t>600984146</t>
  </si>
  <si>
    <t>Conveyor Is Running Skew At Tail</t>
  </si>
  <si>
    <t>ECG-P02-579-SRP-CNV-460-BET-001</t>
  </si>
  <si>
    <t>23:36:59</t>
  </si>
  <si>
    <t>01:40:00</t>
  </si>
  <si>
    <t>600911843</t>
  </si>
  <si>
    <t>Conveyor Running Skew.</t>
  </si>
  <si>
    <t>01:50:50</t>
  </si>
  <si>
    <t>02:22:06</t>
  </si>
  <si>
    <t>601025307</t>
  </si>
  <si>
    <t>Conveyor Is Running Skew And Skirting Ou</t>
  </si>
  <si>
    <t>08:03:00</t>
  </si>
  <si>
    <t>08:25:00</t>
  </si>
  <si>
    <t>600932868</t>
  </si>
  <si>
    <t>Conveyor Run Skew At The Tail</t>
  </si>
  <si>
    <t>21:01:33</t>
  </si>
  <si>
    <t>22:45:43</t>
  </si>
  <si>
    <t>600994259</t>
  </si>
  <si>
    <t>Control Voltage Off</t>
  </si>
  <si>
    <t>10:30:00</t>
  </si>
  <si>
    <t>10:37:00</t>
  </si>
  <si>
    <t>601184270</t>
  </si>
  <si>
    <t>Conveyor Tripped On Underspeed</t>
  </si>
  <si>
    <t>22:05:00</t>
  </si>
  <si>
    <t>22:48:00</t>
  </si>
  <si>
    <t>600912130</t>
  </si>
  <si>
    <t>Conveyor Is Running At The Head.</t>
  </si>
  <si>
    <t>08:18:00</t>
  </si>
  <si>
    <t>600984215</t>
  </si>
  <si>
    <t>Conveyor Shows CVO</t>
  </si>
  <si>
    <t>19:28:10</t>
  </si>
  <si>
    <t>23:30:38</t>
  </si>
  <si>
    <t>600912200</t>
  </si>
  <si>
    <t>08:38:00</t>
  </si>
  <si>
    <t>11:00:00</t>
  </si>
  <si>
    <t>600932872</t>
  </si>
  <si>
    <t>Belt missalignement at the tail</t>
  </si>
  <si>
    <t>6511959</t>
  </si>
  <si>
    <t>09:44:00</t>
  </si>
  <si>
    <t>10:12:00</t>
  </si>
  <si>
    <t>600984242</t>
  </si>
  <si>
    <t>00:56:14</t>
  </si>
  <si>
    <t>01:30:50</t>
  </si>
  <si>
    <t>600909263</t>
  </si>
  <si>
    <t>Shows Belt Skew At Head.</t>
  </si>
  <si>
    <t>16:20:00</t>
  </si>
  <si>
    <t>17:00:00</t>
  </si>
  <si>
    <t>601025060</t>
  </si>
  <si>
    <t>17:30:00</t>
  </si>
  <si>
    <t>20:02:00</t>
  </si>
  <si>
    <t>601064534</t>
  </si>
  <si>
    <t>Conveyer tripped with CVO</t>
  </si>
  <si>
    <t>18:43:00</t>
  </si>
  <si>
    <t>19:19:00</t>
  </si>
  <si>
    <t>601067740</t>
  </si>
  <si>
    <t>conveyor shows stop</t>
  </si>
  <si>
    <t>00:40:08</t>
  </si>
  <si>
    <t>02:10:25</t>
  </si>
  <si>
    <t>600984909</t>
  </si>
  <si>
    <t>Shows Belt Alignment Tail.</t>
  </si>
  <si>
    <t>19:21:00</t>
  </si>
  <si>
    <t>20:00:00</t>
  </si>
  <si>
    <t>600984921</t>
  </si>
  <si>
    <t>22:10:00</t>
  </si>
  <si>
    <t>600946379</t>
  </si>
  <si>
    <t>16:03:00</t>
  </si>
  <si>
    <t>16:15:00</t>
  </si>
  <si>
    <t>600908539</t>
  </si>
  <si>
    <t>23:51:14</t>
  </si>
  <si>
    <t>00:40:36</t>
  </si>
  <si>
    <t>601027538</t>
  </si>
  <si>
    <t>belt running skew</t>
  </si>
  <si>
    <t>21:30:10</t>
  </si>
  <si>
    <t>21:30:21</t>
  </si>
  <si>
    <t>600909616</t>
  </si>
  <si>
    <t>Conveyor is running skew</t>
  </si>
  <si>
    <t>06:40:02</t>
  </si>
  <si>
    <t>07:15:46</t>
  </si>
  <si>
    <t>601123813</t>
  </si>
  <si>
    <t>Conveyor Running Skew At Tail</t>
  </si>
  <si>
    <t>00:13:00</t>
  </si>
  <si>
    <t>600908517</t>
  </si>
  <si>
    <t>XV481 Valve Fail To Open.</t>
  </si>
  <si>
    <t>18:44:45</t>
  </si>
  <si>
    <t>20:16:18</t>
  </si>
  <si>
    <t>600938123</t>
  </si>
  <si>
    <t>Belts Has A Tear On The Side</t>
  </si>
  <si>
    <t>08:22:00</t>
  </si>
  <si>
    <t>12:10:00</t>
  </si>
  <si>
    <t>600984190</t>
  </si>
  <si>
    <t>22:09:13</t>
  </si>
  <si>
    <t>23:21:00</t>
  </si>
  <si>
    <t>601142643</t>
  </si>
  <si>
    <t>Skirting Leaking.</t>
  </si>
  <si>
    <t>19:18:58</t>
  </si>
  <si>
    <t>23:00:02</t>
  </si>
  <si>
    <t>601027634</t>
  </si>
  <si>
    <t>Conveyor Is Running Skew</t>
  </si>
  <si>
    <t>15:39:31</t>
  </si>
  <si>
    <t>17:08:06</t>
  </si>
  <si>
    <t>600915561</t>
  </si>
  <si>
    <t>Conveyor shows cvon</t>
  </si>
  <si>
    <t>13:05:12</t>
  </si>
  <si>
    <t>13:30:44</t>
  </si>
  <si>
    <t>601197825</t>
  </si>
  <si>
    <t>Coupling Is Defect.</t>
  </si>
  <si>
    <t>Drive</t>
  </si>
  <si>
    <t>11:37:00</t>
  </si>
  <si>
    <t>16:30:00</t>
  </si>
  <si>
    <t>600909597</t>
  </si>
  <si>
    <t>14:32:42</t>
  </si>
  <si>
    <t>15:01:43</t>
  </si>
  <si>
    <t>601095972</t>
  </si>
  <si>
    <t>Blockchute LSH501 Active At Module 34</t>
  </si>
  <si>
    <t>ECG-P02-579-SRP-CNV-460-CHU-001</t>
  </si>
  <si>
    <t>19:41:11</t>
  </si>
  <si>
    <t>20:15:21</t>
  </si>
  <si>
    <t>601187802</t>
  </si>
  <si>
    <t>Blockchute LSH501 Is Loose Inside</t>
  </si>
  <si>
    <t>20:21:48</t>
  </si>
  <si>
    <t>21:10:12</t>
  </si>
  <si>
    <t>601005057</t>
  </si>
  <si>
    <t>Conveyor Show CVO</t>
  </si>
  <si>
    <t>ECG-P02-579-SRP-CNV-460-ELE-MOT-001</t>
  </si>
  <si>
    <t>20:00:53</t>
  </si>
  <si>
    <t>20:30:23</t>
  </si>
  <si>
    <t>600982396</t>
  </si>
  <si>
    <t>Mod 34 Conveyor Shows CVO</t>
  </si>
  <si>
    <t>18:34:53</t>
  </si>
  <si>
    <t>19:00:16</t>
  </si>
  <si>
    <t>601014979</t>
  </si>
  <si>
    <t>21:24:28</t>
  </si>
  <si>
    <t>21:50:09</t>
  </si>
  <si>
    <t>601027585</t>
  </si>
  <si>
    <t>Conveyor shows CVO</t>
  </si>
  <si>
    <t>17:21:08</t>
  </si>
  <si>
    <t>18:38:23</t>
  </si>
  <si>
    <t>601020403</t>
  </si>
  <si>
    <t>Conveyor Came Out With CVO</t>
  </si>
  <si>
    <t>20:48:41</t>
  </si>
  <si>
    <t>21:10:11</t>
  </si>
  <si>
    <t>600992114</t>
  </si>
  <si>
    <t>00:55:59</t>
  </si>
  <si>
    <t>01:45:26</t>
  </si>
  <si>
    <t>600946729</t>
  </si>
  <si>
    <t>14:00:00</t>
  </si>
  <si>
    <t>600947895</t>
  </si>
  <si>
    <t>Module 34 Conveyor Shows CVO</t>
  </si>
  <si>
    <t>ECG-P02-579-SRP-CNV-460-ELE-PNL-001</t>
  </si>
  <si>
    <t>13:24:43</t>
  </si>
  <si>
    <t>14:00:15</t>
  </si>
  <si>
    <t>600992022</t>
  </si>
  <si>
    <t>Conveyor Comes Out With CVO.</t>
  </si>
  <si>
    <t>11:41:32</t>
  </si>
  <si>
    <t>12:03:32</t>
  </si>
  <si>
    <t>600972230</t>
  </si>
  <si>
    <t>11:00:13</t>
  </si>
  <si>
    <t>11:24:10</t>
  </si>
  <si>
    <t>600945966</t>
  </si>
  <si>
    <t>12:25:54</t>
  </si>
  <si>
    <t>13:00:03</t>
  </si>
  <si>
    <t>601003834</t>
  </si>
  <si>
    <t>Metal Detector Box Off</t>
  </si>
  <si>
    <t>12:46:48</t>
  </si>
  <si>
    <t>13:10:02</t>
  </si>
  <si>
    <t>601196867</t>
  </si>
  <si>
    <t>Conveyor Shows Belt Tear.</t>
  </si>
  <si>
    <t>07:11:46</t>
  </si>
  <si>
    <t>07:30:45</t>
  </si>
  <si>
    <t>601028925</t>
  </si>
  <si>
    <t>Blockchute Active</t>
  </si>
  <si>
    <t>18:38:12</t>
  </si>
  <si>
    <t>19:30:41</t>
  </si>
  <si>
    <t>600912930</t>
  </si>
  <si>
    <t>00:45:41</t>
  </si>
  <si>
    <t>01:15:10</t>
  </si>
  <si>
    <t>600993694</t>
  </si>
  <si>
    <t>Clasification Screen Shows CVO, Field</t>
  </si>
  <si>
    <t>11:10:09</t>
  </si>
  <si>
    <t>11:20:00</t>
  </si>
  <si>
    <t>600936320</t>
  </si>
  <si>
    <t>Conveyor Tripped On CVO.</t>
  </si>
  <si>
    <t>16:50:43</t>
  </si>
  <si>
    <t>17:00:12</t>
  </si>
  <si>
    <t>600975331</t>
  </si>
  <si>
    <t>Shows CVO.</t>
  </si>
  <si>
    <t>17:52:00</t>
  </si>
  <si>
    <t>18:40:00</t>
  </si>
  <si>
    <t>600989458</t>
  </si>
  <si>
    <t>16:02:43</t>
  </si>
  <si>
    <t>16:27:49</t>
  </si>
  <si>
    <t>600991115</t>
  </si>
  <si>
    <t>13:38:00</t>
  </si>
  <si>
    <t>14:05:00</t>
  </si>
  <si>
    <t>600981713</t>
  </si>
  <si>
    <t>19:13:00</t>
  </si>
  <si>
    <t>19:25:00</t>
  </si>
  <si>
    <t>600934714</t>
  </si>
  <si>
    <t>Tripped With Control Voltage On</t>
  </si>
  <si>
    <t>22:38:00</t>
  </si>
  <si>
    <t>22:58:00</t>
  </si>
  <si>
    <t>601121082</t>
  </si>
  <si>
    <t>03:40:41</t>
  </si>
  <si>
    <t>04:20:37</t>
  </si>
  <si>
    <t>601003966</t>
  </si>
  <si>
    <t>Metal Detector Keep On Tripping</t>
  </si>
  <si>
    <t>09:52:22</t>
  </si>
  <si>
    <t>11:00:47</t>
  </si>
  <si>
    <t>600933972</t>
  </si>
  <si>
    <t>06:12:29</t>
  </si>
  <si>
    <t>06:43:03</t>
  </si>
  <si>
    <t>600946134</t>
  </si>
  <si>
    <t>22:47:00</t>
  </si>
  <si>
    <t>22:57:00</t>
  </si>
  <si>
    <t>600942426</t>
  </si>
  <si>
    <t>Tripped With Control Voltage</t>
  </si>
  <si>
    <t>18:37:00</t>
  </si>
  <si>
    <t>19:00:00</t>
  </si>
  <si>
    <t>600989767</t>
  </si>
  <si>
    <t>09:45:50</t>
  </si>
  <si>
    <t>10:25:11</t>
  </si>
  <si>
    <t>600908827</t>
  </si>
  <si>
    <t>Tripped With Control Voltage Off</t>
  </si>
  <si>
    <t>18:17:00</t>
  </si>
  <si>
    <t>18:47:00</t>
  </si>
  <si>
    <t>600965902</t>
  </si>
  <si>
    <t>12:55:42</t>
  </si>
  <si>
    <t>13:44:25</t>
  </si>
  <si>
    <t>601029337</t>
  </si>
  <si>
    <t>Conveyor Show External Earth Fault And</t>
  </si>
  <si>
    <t>03:50:26</t>
  </si>
  <si>
    <t>04:17:59</t>
  </si>
  <si>
    <t>600923241</t>
  </si>
  <si>
    <t>CVOff.</t>
  </si>
  <si>
    <t>20:25:00</t>
  </si>
  <si>
    <t>601024693</t>
  </si>
  <si>
    <t>CVO &amp; Stop Healthy.</t>
  </si>
  <si>
    <t>23:03:46</t>
  </si>
  <si>
    <t>23:30:27</t>
  </si>
  <si>
    <t>601013807</t>
  </si>
  <si>
    <t>18:38:22</t>
  </si>
  <si>
    <t>18:58:06</t>
  </si>
  <si>
    <t>601020546</t>
  </si>
  <si>
    <t>21:14:03</t>
  </si>
  <si>
    <t>21:45:42</t>
  </si>
  <si>
    <t>601008884</t>
  </si>
  <si>
    <t>11:42:27</t>
  </si>
  <si>
    <t>12:20:26</t>
  </si>
  <si>
    <t>600988230</t>
  </si>
  <si>
    <t>08:45:41</t>
  </si>
  <si>
    <t>09:10:09</t>
  </si>
  <si>
    <t>601027649</t>
  </si>
  <si>
    <t>09:31:14</t>
  </si>
  <si>
    <t>10:00:01</t>
  </si>
  <si>
    <t>601027663</t>
  </si>
  <si>
    <t>06:50:40</t>
  </si>
  <si>
    <t>07:10:12</t>
  </si>
  <si>
    <t>600909772</t>
  </si>
  <si>
    <t>15:30:58</t>
  </si>
  <si>
    <t>16:09:03</t>
  </si>
  <si>
    <t>600928831</t>
  </si>
  <si>
    <t>Plant Feed Conveyor Shows CVO</t>
  </si>
  <si>
    <t>16:50:21</t>
  </si>
  <si>
    <t>17:26:52</t>
  </si>
  <si>
    <t>601027631</t>
  </si>
  <si>
    <t>14:55:08</t>
  </si>
  <si>
    <t>15:03:36</t>
  </si>
  <si>
    <t>600981896</t>
  </si>
  <si>
    <t>09:20:22</t>
  </si>
  <si>
    <t>09:38:48</t>
  </si>
  <si>
    <t>601231963</t>
  </si>
  <si>
    <t>23:12:58</t>
  </si>
  <si>
    <t>23:43:29</t>
  </si>
  <si>
    <t>600978237</t>
  </si>
  <si>
    <t>22:10:13</t>
  </si>
  <si>
    <t>22:25:39</t>
  </si>
  <si>
    <t>601012064</t>
  </si>
  <si>
    <t>15:53:11</t>
  </si>
  <si>
    <t>16:12:37</t>
  </si>
  <si>
    <t>601142516</t>
  </si>
  <si>
    <t>Conveyor Shows Belt Tear Tail.</t>
  </si>
  <si>
    <t>06:40:57</t>
  </si>
  <si>
    <t>09:30:16</t>
  </si>
  <si>
    <t>601142423</t>
  </si>
  <si>
    <t>08:33:11</t>
  </si>
  <si>
    <t>09:30:38</t>
  </si>
  <si>
    <t>601027485</t>
  </si>
  <si>
    <t>14:28:30</t>
  </si>
  <si>
    <t>14:42:17</t>
  </si>
  <si>
    <t>601011172</t>
  </si>
  <si>
    <t>14:44:40</t>
  </si>
  <si>
    <t>15:39:30</t>
  </si>
  <si>
    <t>601029508</t>
  </si>
  <si>
    <t>ECG-P02-579-SRP-CNV-460-ELE-PNL-002</t>
  </si>
  <si>
    <t>06:17:00</t>
  </si>
  <si>
    <t>06:47:00</t>
  </si>
  <si>
    <t>601029509</t>
  </si>
  <si>
    <t>13:22:00</t>
  </si>
  <si>
    <t>13:55:00</t>
  </si>
  <si>
    <t>600971912</t>
  </si>
  <si>
    <t>19:41:00</t>
  </si>
  <si>
    <t>20:11:00</t>
  </si>
  <si>
    <t>600912939</t>
  </si>
  <si>
    <t>Feed Conveyor Shows CVO</t>
  </si>
  <si>
    <t>04:00:28</t>
  </si>
  <si>
    <t>04:29:01</t>
  </si>
  <si>
    <t>600949059</t>
  </si>
  <si>
    <t>19:17:16</t>
  </si>
  <si>
    <t>20:14:11</t>
  </si>
  <si>
    <t>601025388</t>
  </si>
  <si>
    <t>23:35:00</t>
  </si>
  <si>
    <t>00:05:00</t>
  </si>
  <si>
    <t>601025389</t>
  </si>
  <si>
    <t>01:53:00</t>
  </si>
  <si>
    <t>02:23:00</t>
  </si>
  <si>
    <t>601018881</t>
  </si>
  <si>
    <t>14:18:44</t>
  </si>
  <si>
    <t>14:50:02</t>
  </si>
  <si>
    <t>601014480</t>
  </si>
  <si>
    <t>600948181</t>
  </si>
  <si>
    <t>00:40:00</t>
  </si>
  <si>
    <t>601011194</t>
  </si>
  <si>
    <t>02:40:00</t>
  </si>
  <si>
    <t>600978975</t>
  </si>
  <si>
    <t>21:52:00</t>
  </si>
  <si>
    <t>22:22:00</t>
  </si>
  <si>
    <t>601030140</t>
  </si>
  <si>
    <t>06:32:00</t>
  </si>
  <si>
    <t>07:02:00</t>
  </si>
  <si>
    <t>600974305</t>
  </si>
  <si>
    <t>Belt Alignment Defect</t>
  </si>
  <si>
    <t>20:29:00</t>
  </si>
  <si>
    <t>601219428</t>
  </si>
  <si>
    <t>20:50:00</t>
  </si>
  <si>
    <t>21:20:00</t>
  </si>
  <si>
    <t>601026747</t>
  </si>
  <si>
    <t>11:25:00</t>
  </si>
  <si>
    <t>11:55:00</t>
  </si>
  <si>
    <t>600930835</t>
  </si>
  <si>
    <t>11:31:00</t>
  </si>
  <si>
    <t>11:49:00</t>
  </si>
  <si>
    <t>601019554</t>
  </si>
  <si>
    <t>18:45:00</t>
  </si>
  <si>
    <t>19:15:00</t>
  </si>
  <si>
    <t>600983957</t>
  </si>
  <si>
    <t>19:04:00</t>
  </si>
  <si>
    <t>19:34:00</t>
  </si>
  <si>
    <t>601012773</t>
  </si>
  <si>
    <t>06:59:00</t>
  </si>
  <si>
    <t>07:29:00</t>
  </si>
  <si>
    <t>600946442</t>
  </si>
  <si>
    <t>00:21:00</t>
  </si>
  <si>
    <t>00:51:00</t>
  </si>
  <si>
    <t>600956932</t>
  </si>
  <si>
    <t>14:47:00</t>
  </si>
  <si>
    <t>15:05:00</t>
  </si>
  <si>
    <t>600998583</t>
  </si>
  <si>
    <t>14:03:00</t>
  </si>
  <si>
    <t>14:33:00</t>
  </si>
  <si>
    <t>601038863</t>
  </si>
  <si>
    <t>Block Chute Active</t>
  </si>
  <si>
    <t>ECG-P02-579-SRP-CNV-460-ELE-SWH-001</t>
  </si>
  <si>
    <t>07:20:00</t>
  </si>
  <si>
    <t>08:10:00</t>
  </si>
  <si>
    <t>601133760</t>
  </si>
  <si>
    <t>600979357</t>
  </si>
  <si>
    <t>15:43:35</t>
  </si>
  <si>
    <t>15:58:55</t>
  </si>
  <si>
    <t>600989465</t>
  </si>
  <si>
    <t>20:54:58</t>
  </si>
  <si>
    <t>22:00:07</t>
  </si>
  <si>
    <t>601265616</t>
  </si>
  <si>
    <t>Not enough air pressure</t>
  </si>
  <si>
    <t>ECG-P02-579-SRP-CNV-460-HYD-VLV-001</t>
  </si>
  <si>
    <t>20:06:00</t>
  </si>
  <si>
    <t>600921286</t>
  </si>
  <si>
    <t>Head pully Bearing Deffect</t>
  </si>
  <si>
    <t>ECG-P02-579-SRP-CNV-460-PUL-007</t>
  </si>
  <si>
    <t>18:00:40</t>
  </si>
  <si>
    <t>01:01:20</t>
  </si>
  <si>
    <t>600945239</t>
  </si>
  <si>
    <t>ECG-P02-579-SRP-CNV-460-SCA-001</t>
  </si>
  <si>
    <t>10:57:32</t>
  </si>
  <si>
    <t>11:27:57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</si>
</sst>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080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3" borderId="2" xfId="0" applyNumberFormat="1" applyFill="1" applyBorder="1"/>
    <xf numFmtId="0" fontId="0" fillId="3" borderId="2" xfId="0" applyFill="1" applyBorder="1"/>
    <xf numFmtId="49" fontId="0" fillId="0" borderId="2" xfId="0" applyNumberFormat="1" applyBorder="1"/>
    <xf numFmtId="0" fontId="0" fillId="0" borderId="2" xfId="0" applyBorder="1"/>
    <xf numFmtId="49" fontId="0" fillId="2" borderId="1" xfId="0" applyNumberFormat="1" applyFill="1" applyBorder="1"/>
    <xf numFmtId="0" fontId="1" fillId="4" borderId="0" xfId="0" applyFont="1" applyFill="1"/>
    <xf numFmtId="0" fontId="1" fillId="5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64" fontId="1" fillId="5" borderId="0" xfId="0" applyNumberFormat="1" applyFont="1" applyFill="1" applyAlignment="1">
      <alignment horizontal="left"/>
    </xf>
    <xf numFmtId="0" fontId="0" fillId="6" borderId="2" xfId="0" applyFill="1" applyBorder="1"/>
    <xf numFmtId="14" fontId="0" fillId="3" borderId="2" xfId="0" applyNumberFormat="1" applyFill="1" applyBorder="1"/>
    <xf numFmtId="4" fontId="0" fillId="3" borderId="2" xfId="0" applyNumberFormat="1" applyFill="1" applyBorder="1"/>
    <xf numFmtId="164" fontId="0" fillId="3" borderId="2" xfId="0" applyNumberFormat="1" applyFill="1" applyBorder="1"/>
    <xf numFmtId="49" fontId="0" fillId="3" borderId="3" xfId="0" applyNumberFormat="1" applyFill="1" applyBorder="1"/>
    <xf numFmtId="14" fontId="0" fillId="0" borderId="2" xfId="0" applyNumberFormat="1" applyBorder="1"/>
    <xf numFmtId="4" fontId="0" fillId="0" borderId="2" xfId="0" applyNumberFormat="1" applyBorder="1"/>
    <xf numFmtId="164" fontId="0" fillId="0" borderId="2" xfId="0" applyNumberFormat="1" applyBorder="1"/>
    <xf numFmtId="49" fontId="0" fillId="0" borderId="3" xfId="0" applyNumberFormat="1" applyBorder="1"/>
    <xf numFmtId="49" fontId="0" fillId="2" borderId="0" xfId="0" applyNumberFormat="1" applyFill="1"/>
    <xf numFmtId="49" fontId="0" fillId="0" borderId="0" xfId="0" applyNumberFormat="1"/>
    <xf numFmtId="0" fontId="0" fillId="7" borderId="0" xfId="0" applyFill="1"/>
    <xf numFmtId="14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7">
    <dxf>
      <numFmt numFmtId="30" formatCode="@"/>
    </dxf>
    <dxf>
      <numFmt numFmtId="30" formatCode="@"/>
    </dxf>
    <dxf>
      <numFmt numFmtId="30" formatCode="@"/>
    </dxf>
    <dxf>
      <numFmt numFmtId="19" formatCode="yyyy/mm/dd"/>
    </dxf>
    <dxf>
      <numFmt numFmtId="30" formatCode="@"/>
    </dxf>
    <dxf>
      <numFmt numFmtId="19" formatCode="yyyy/mm/dd"/>
    </dxf>
    <dxf>
      <numFmt numFmtId="164" formatCode="[$-F400]h:mm:ss\ AM/PM"/>
    </dxf>
    <dxf>
      <numFmt numFmtId="4" formatCode="#,##0.00"/>
    </dxf>
    <dxf>
      <numFmt numFmtId="30" formatCode="@"/>
    </dxf>
    <dxf>
      <numFmt numFmtId="30" formatCode="@"/>
    </dxf>
    <dxf>
      <numFmt numFmtId="19" formatCode="yyyy/mm/dd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indexed="4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rgb="FF000000"/>
          <bgColor rgb="FFFFFF99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gconomics.sharepoint.com/Shared%20Documents/03%20Projects/02%20Active/JA000261%20PaceSA%20EXXARO%20Grootegeluk%20Conveyors/Data%20aquisition/Phase%201/Reliability/Breakdowns%20Jan%202021-%20Sept%202024.xlsx" TargetMode="External"/><Relationship Id="rId1" Type="http://schemas.openxmlformats.org/officeDocument/2006/relationships/externalLinkPath" Target="https://engconomics.sharepoint.com/Shared%20Documents/03%20Projects/02%20Active/JA000261%20PaceSA%20EXXARO%20Grootegeluk%20Conveyors/Data%20aquisition/Phase%201/Reliability/Breakdowns%20Jan%202021-%20Sept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Xlookup"/>
      <sheetName val="Raw"/>
      <sheetName val="RF Pivot"/>
      <sheetName val="Raw-filtered"/>
      <sheetName val="Processed Pivot"/>
      <sheetName val="Processed"/>
      <sheetName val="88% Complete Together"/>
      <sheetName val="Sheet2"/>
      <sheetName val="Sheet3"/>
      <sheetName val="88% New Pivot (2)"/>
      <sheetName val="88% New Together"/>
      <sheetName val="88% New Together (2)"/>
      <sheetName val="Total Shuts"/>
      <sheetName val="Graphs"/>
      <sheetName val="RAM Iterations"/>
      <sheetName val="Class"/>
      <sheetName val="88% New Pivot"/>
      <sheetName val="88% Pivot"/>
      <sheetName val="Sheet1"/>
      <sheetName val="GG1 Area"/>
      <sheetName val="GG2.6 Area"/>
      <sheetName val="GG3.4.5 Area"/>
      <sheetName val="GG7.8.10.E Area"/>
      <sheetName val="579-1200"/>
      <sheetName val="820-9000"/>
      <sheetName val="810-4000"/>
      <sheetName val="PR01-CV01 PHP"/>
      <sheetName val="PR02-CV03 PHP"/>
      <sheetName val="PR01-CV02 PHP"/>
      <sheetName val="PR01-CV02 LDP"/>
      <sheetName val="320-0200"/>
      <sheetName val="303-5000"/>
      <sheetName val="303-2500"/>
      <sheetName val="669-0600"/>
      <sheetName val="303-6000"/>
      <sheetName val="579-4400"/>
      <sheetName val="303-4000"/>
      <sheetName val="PR01-CV01 LDP"/>
      <sheetName val="RH01-CV01"/>
      <sheetName val="RH01-CV02"/>
      <sheetName val="RH02-CV01"/>
      <sheetName val="WH01-CV01"/>
      <sheetName val="WH01-CV03"/>
      <sheetName val="SH01-CV01"/>
      <sheetName val="SH01-CV02"/>
      <sheetName val="SH02-CV03"/>
      <sheetName val="SH02-CV04"/>
      <sheetName val="321-1800"/>
      <sheetName val="310-0800"/>
      <sheetName val="482-0200"/>
      <sheetName val="579-0800"/>
      <sheetName val="579-4600"/>
      <sheetName val="482-0400"/>
      <sheetName val="579-1400"/>
      <sheetName val="481-0200"/>
      <sheetName val="579-1000"/>
      <sheetName val="480-0800"/>
      <sheetName val="482-0600"/>
      <sheetName val="480-2800"/>
      <sheetName val="479-5000"/>
      <sheetName val="480-0400"/>
      <sheetName val="479-1200"/>
      <sheetName val="479-04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A4" t="str">
            <v>A Type Mismatch Has Been Pefect</v>
          </cell>
          <cell r="G4" t="str">
            <v>Fault</v>
          </cell>
        </row>
        <row r="5">
          <cell r="A5" t="str">
            <v>A04 silo feed 0800 conveyor calibration</v>
          </cell>
          <cell r="G5" t="str">
            <v>Fault</v>
          </cell>
        </row>
        <row r="6">
          <cell r="A6" t="str">
            <v>Airtype Mismatch Has Been Detected.</v>
          </cell>
          <cell r="G6" t="str">
            <v>Fault</v>
          </cell>
        </row>
        <row r="7">
          <cell r="A7" t="str">
            <v>Alarm Fault Present</v>
          </cell>
          <cell r="G7" t="str">
            <v>Alarm</v>
          </cell>
        </row>
        <row r="8">
          <cell r="A8" t="str">
            <v>Alarm Is Active.</v>
          </cell>
          <cell r="G8" t="str">
            <v>Alarm</v>
          </cell>
        </row>
        <row r="9">
          <cell r="A9" t="str">
            <v>Alarm Present</v>
          </cell>
          <cell r="G9" t="str">
            <v>Alarm</v>
          </cell>
        </row>
        <row r="10">
          <cell r="A10" t="str">
            <v>Alarm Present And Fault Present.</v>
          </cell>
          <cell r="G10" t="str">
            <v>Alarm</v>
          </cell>
        </row>
        <row r="11">
          <cell r="A11" t="str">
            <v>Alarm Present.</v>
          </cell>
          <cell r="G11" t="str">
            <v>Alarm</v>
          </cell>
        </row>
        <row r="12">
          <cell r="A12" t="str">
            <v>Alarm Sound Not Stopping.</v>
          </cell>
          <cell r="G12" t="str">
            <v>Alarm</v>
          </cell>
        </row>
        <row r="13">
          <cell r="A13" t="str">
            <v>All Equipments Tripped</v>
          </cell>
          <cell r="G13" t="str">
            <v>Trip</v>
          </cell>
        </row>
        <row r="14">
          <cell r="A14" t="str">
            <v>ALL INSTRUMENTS NOT WORKING GG1</v>
          </cell>
          <cell r="G14" t="str">
            <v>Fault</v>
          </cell>
        </row>
        <row r="15">
          <cell r="A15" t="str">
            <v>Analyser Is Stucked Underneath The Belt</v>
          </cell>
          <cell r="G15" t="str">
            <v>Fault</v>
          </cell>
        </row>
        <row r="16">
          <cell r="A16" t="str">
            <v>Analyzer Bin Level Switch Shows High.</v>
          </cell>
          <cell r="G16" t="str">
            <v>Limit</v>
          </cell>
        </row>
        <row r="17">
          <cell r="A17" t="str">
            <v>aniliser not ready</v>
          </cell>
          <cell r="G17" t="str">
            <v>Fault</v>
          </cell>
        </row>
        <row r="18">
          <cell r="A18" t="str">
            <v>Area01 Chute Shows Retain Fault</v>
          </cell>
          <cell r="G18" t="str">
            <v>Retain</v>
          </cell>
        </row>
        <row r="19">
          <cell r="A19" t="str">
            <v>Area04 Conveyor Shows Underspeed</v>
          </cell>
          <cell r="G19" t="str">
            <v>Underspeed</v>
          </cell>
        </row>
        <row r="20">
          <cell r="A20" t="str">
            <v>Area04 Silo Feed Conveyor Is Running</v>
          </cell>
          <cell r="G20" t="str">
            <v>Fault</v>
          </cell>
        </row>
        <row r="21">
          <cell r="A21" t="str">
            <v>Ask For Lockout.</v>
          </cell>
          <cell r="G21" t="str">
            <v>Lockout</v>
          </cell>
        </row>
        <row r="22">
          <cell r="A22" t="str">
            <v>Ask To Lockout  The Belt.</v>
          </cell>
          <cell r="G22" t="str">
            <v>Lockout</v>
          </cell>
        </row>
        <row r="23">
          <cell r="A23" t="str">
            <v>Ask To Take out locks.</v>
          </cell>
          <cell r="G23" t="str">
            <v>Lockout</v>
          </cell>
        </row>
        <row r="24">
          <cell r="A24" t="str">
            <v>Ask To Unlock the Belt.</v>
          </cell>
          <cell r="G24" t="str">
            <v>Lockout</v>
          </cell>
        </row>
        <row r="25">
          <cell r="A25" t="str">
            <v>Ask To Unlock.</v>
          </cell>
          <cell r="G25" t="str">
            <v>Lockout</v>
          </cell>
        </row>
        <row r="26">
          <cell r="A26" t="str">
            <v>Belt Alignment Button Is Not Working</v>
          </cell>
          <cell r="G26" t="str">
            <v>Fault</v>
          </cell>
        </row>
        <row r="27">
          <cell r="A27" t="str">
            <v>Belt Alignment Does Not reset</v>
          </cell>
          <cell r="G27" t="str">
            <v>Retain</v>
          </cell>
        </row>
        <row r="28">
          <cell r="A28" t="str">
            <v>Belt comes Out With Belt Tear.</v>
          </cell>
          <cell r="G28" t="str">
            <v>Tear</v>
          </cell>
        </row>
        <row r="29">
          <cell r="A29" t="str">
            <v>Belt Does Not Give Interlock When Chute</v>
          </cell>
          <cell r="G29" t="str">
            <v>Interlock</v>
          </cell>
        </row>
        <row r="30">
          <cell r="A30" t="str">
            <v>Belt Doesn't Want To Start On Maintenanc</v>
          </cell>
          <cell r="G30" t="str">
            <v>Retain</v>
          </cell>
        </row>
        <row r="31">
          <cell r="A31" t="str">
            <v>Belt Guard HS011 Switch Does Not Want</v>
          </cell>
          <cell r="G31" t="str">
            <v>Retain</v>
          </cell>
        </row>
        <row r="32">
          <cell r="A32" t="str">
            <v>Belt Is Running Empty But Scale Readings</v>
          </cell>
          <cell r="G32" t="str">
            <v>Scale</v>
          </cell>
        </row>
        <row r="33">
          <cell r="A33" t="str">
            <v>Belt Is Running Empty But The Scale Is</v>
          </cell>
          <cell r="G33" t="str">
            <v>Scale</v>
          </cell>
        </row>
        <row r="34">
          <cell r="A34" t="str">
            <v>Belt Misalignment Apparator faulty</v>
          </cell>
          <cell r="G34" t="str">
            <v>Fault</v>
          </cell>
        </row>
        <row r="35">
          <cell r="A35" t="str">
            <v>Belt Scale</v>
          </cell>
          <cell r="G35" t="str">
            <v>Scale</v>
          </cell>
        </row>
        <row r="36">
          <cell r="A36" t="str">
            <v>Belt Scale Gives Wrong Readings.</v>
          </cell>
          <cell r="G36" t="str">
            <v>Scale</v>
          </cell>
        </row>
        <row r="37">
          <cell r="A37" t="str">
            <v>Belt Scale Is Not Working Properly.</v>
          </cell>
          <cell r="G37" t="str">
            <v>Scale</v>
          </cell>
        </row>
        <row r="38">
          <cell r="A38" t="str">
            <v>Belt Scale Over High High Alarm</v>
          </cell>
          <cell r="G38" t="str">
            <v>Limit</v>
          </cell>
        </row>
        <row r="39">
          <cell r="A39" t="str">
            <v>Belt Shows External Safety Shutdown.</v>
          </cell>
          <cell r="G39" t="str">
            <v>Safety</v>
          </cell>
        </row>
        <row r="40">
          <cell r="A40" t="str">
            <v>Belt Skew Tripped.</v>
          </cell>
          <cell r="G40" t="str">
            <v>Trip</v>
          </cell>
        </row>
        <row r="41">
          <cell r="A41" t="str">
            <v>Belt Tear</v>
          </cell>
          <cell r="G41" t="str">
            <v>Tear</v>
          </cell>
        </row>
        <row r="42">
          <cell r="A42" t="str">
            <v>Belt Tear 01 And Is Not Activated</v>
          </cell>
          <cell r="G42" t="str">
            <v>Tear</v>
          </cell>
        </row>
        <row r="43">
          <cell r="A43" t="str">
            <v>Belt tear 1</v>
          </cell>
          <cell r="G43" t="str">
            <v>Tear</v>
          </cell>
        </row>
        <row r="44">
          <cell r="A44" t="str">
            <v>Belt Tear 2</v>
          </cell>
          <cell r="G44" t="str">
            <v>Tear</v>
          </cell>
        </row>
        <row r="45">
          <cell r="A45" t="str">
            <v>Belt Tear Active.</v>
          </cell>
          <cell r="G45" t="str">
            <v>Tear</v>
          </cell>
        </row>
        <row r="46">
          <cell r="A46" t="str">
            <v>Belt Tear Does Not Reset</v>
          </cell>
          <cell r="G46" t="str">
            <v>Tear</v>
          </cell>
        </row>
        <row r="47">
          <cell r="A47" t="str">
            <v>Belt Tear Does Not Want To Reset</v>
          </cell>
          <cell r="G47" t="str">
            <v>Tear</v>
          </cell>
        </row>
        <row r="48">
          <cell r="A48" t="str">
            <v>Belt Tear Fault</v>
          </cell>
          <cell r="G48" t="str">
            <v>Tear</v>
          </cell>
        </row>
        <row r="49">
          <cell r="A49" t="str">
            <v>Belt Tear Has Broken.</v>
          </cell>
          <cell r="G49" t="str">
            <v>Tear</v>
          </cell>
        </row>
        <row r="50">
          <cell r="A50" t="str">
            <v>Belt Tear Head.</v>
          </cell>
          <cell r="G50" t="str">
            <v>Tear</v>
          </cell>
        </row>
        <row r="51">
          <cell r="A51" t="str">
            <v>Belt Tear Is Active.</v>
          </cell>
          <cell r="G51" t="str">
            <v>Tear</v>
          </cell>
        </row>
        <row r="52">
          <cell r="A52" t="str">
            <v>Belt Tear Switch Does Not Reset</v>
          </cell>
          <cell r="G52" t="str">
            <v>Retain</v>
          </cell>
        </row>
        <row r="53">
          <cell r="A53" t="str">
            <v>Belt Tear XS003 Active.</v>
          </cell>
          <cell r="G53" t="str">
            <v>Tear</v>
          </cell>
        </row>
        <row r="54">
          <cell r="A54" t="str">
            <v>Belt Tear YS002 Active At The Head</v>
          </cell>
          <cell r="G54" t="str">
            <v>Tear</v>
          </cell>
        </row>
        <row r="55">
          <cell r="A55" t="str">
            <v>Belt Tear YS015 Doesn't Want To Reseted.</v>
          </cell>
          <cell r="G55" t="str">
            <v>Retain</v>
          </cell>
        </row>
        <row r="56">
          <cell r="A56" t="str">
            <v>Belt Tear YS034 Doesn't Reset.</v>
          </cell>
          <cell r="G56" t="str">
            <v>Retain</v>
          </cell>
        </row>
        <row r="57">
          <cell r="A57" t="str">
            <v>Belt Tear.</v>
          </cell>
          <cell r="G57" t="str">
            <v>Tear</v>
          </cell>
        </row>
        <row r="58">
          <cell r="A58" t="str">
            <v>Belt Tear1 Wire Broken.</v>
          </cell>
          <cell r="G58" t="str">
            <v>Tear</v>
          </cell>
        </row>
        <row r="59">
          <cell r="A59" t="str">
            <v>Belt tier Not Reseting</v>
          </cell>
          <cell r="G59" t="str">
            <v>Retain</v>
          </cell>
        </row>
        <row r="60">
          <cell r="A60" t="str">
            <v>Belt Tripped With Multiple Faults.</v>
          </cell>
          <cell r="G60" t="str">
            <v>Fault</v>
          </cell>
        </row>
        <row r="61">
          <cell r="A61" t="str">
            <v>Belt Underspeed</v>
          </cell>
          <cell r="G61" t="str">
            <v>Underspeed</v>
          </cell>
        </row>
        <row r="62">
          <cell r="A62" t="str">
            <v>Belt XV005 Does Not Want To Reset</v>
          </cell>
          <cell r="G62" t="str">
            <v>Retain</v>
          </cell>
        </row>
        <row r="63">
          <cell r="A63" t="str">
            <v>Bin Level Sensor Is Faulty</v>
          </cell>
          <cell r="G63" t="str">
            <v>Fault</v>
          </cell>
        </row>
        <row r="64">
          <cell r="A64" t="str">
            <v>Blick Chute Is Broken</v>
          </cell>
          <cell r="G64" t="str">
            <v>Blockchute</v>
          </cell>
        </row>
        <row r="65">
          <cell r="A65" t="str">
            <v>Block chute</v>
          </cell>
          <cell r="G65" t="str">
            <v>Blockchute</v>
          </cell>
        </row>
        <row r="66">
          <cell r="A66" t="str">
            <v>Block Chute Active</v>
          </cell>
          <cell r="G66" t="str">
            <v>Blockchute</v>
          </cell>
        </row>
        <row r="67">
          <cell r="A67" t="str">
            <v>Block Chute Active.</v>
          </cell>
          <cell r="G67" t="str">
            <v>Blockchute</v>
          </cell>
        </row>
        <row r="68">
          <cell r="A68" t="str">
            <v>Block Chute Does Not Reset</v>
          </cell>
          <cell r="G68" t="str">
            <v>Retain</v>
          </cell>
        </row>
        <row r="69">
          <cell r="A69" t="str">
            <v>Block Chute Is Active.</v>
          </cell>
          <cell r="G69" t="str">
            <v>Blockchute</v>
          </cell>
        </row>
        <row r="70">
          <cell r="A70" t="str">
            <v>Block Chute Keeps Being Active</v>
          </cell>
          <cell r="G70" t="str">
            <v>Blockchute</v>
          </cell>
        </row>
        <row r="71">
          <cell r="A71" t="str">
            <v>Blockchute Active</v>
          </cell>
          <cell r="G71" t="str">
            <v>Blockchute</v>
          </cell>
        </row>
        <row r="72">
          <cell r="A72" t="str">
            <v>Blockchute Active LSH008.</v>
          </cell>
          <cell r="G72" t="str">
            <v>Blockchute</v>
          </cell>
        </row>
        <row r="73">
          <cell r="A73" t="str">
            <v>Blockchute Active.</v>
          </cell>
          <cell r="G73" t="str">
            <v>Blockchute</v>
          </cell>
        </row>
        <row r="74">
          <cell r="A74" t="str">
            <v>Blockchute At Head Chute Active.</v>
          </cell>
          <cell r="G74" t="str">
            <v>Blockchute</v>
          </cell>
        </row>
        <row r="75">
          <cell r="A75" t="str">
            <v>Blockchute Is Not Functioning.</v>
          </cell>
          <cell r="G75" t="str">
            <v>Blockchute</v>
          </cell>
        </row>
        <row r="76">
          <cell r="A76" t="str">
            <v>Blockchute Is Out.</v>
          </cell>
          <cell r="G76" t="str">
            <v>Blockchute</v>
          </cell>
        </row>
        <row r="77">
          <cell r="A77" t="str">
            <v>Blockchute LSH 004.</v>
          </cell>
          <cell r="G77" t="str">
            <v>Blockchute</v>
          </cell>
        </row>
        <row r="78">
          <cell r="A78" t="str">
            <v>Blockchute LSH002 Active</v>
          </cell>
          <cell r="G78" t="str">
            <v>Blockchute</v>
          </cell>
        </row>
        <row r="79">
          <cell r="A79" t="str">
            <v>Blockchute LSH002A Active</v>
          </cell>
          <cell r="G79" t="str">
            <v>Blockchute</v>
          </cell>
        </row>
        <row r="80">
          <cell r="A80" t="str">
            <v>Blockchute LSH003 Active</v>
          </cell>
          <cell r="G80" t="str">
            <v>Blockchute</v>
          </cell>
        </row>
        <row r="81">
          <cell r="A81" t="str">
            <v>Blockchute LSH088 Active</v>
          </cell>
          <cell r="G81" t="str">
            <v>Blockchute</v>
          </cell>
        </row>
        <row r="82">
          <cell r="A82" t="str">
            <v>Blockchute LSH501 Active At Module 34</v>
          </cell>
          <cell r="G82" t="str">
            <v>Blockchute</v>
          </cell>
        </row>
        <row r="83">
          <cell r="A83" t="str">
            <v>Blockchute LSH501 Is Loose Inside</v>
          </cell>
          <cell r="G83" t="str">
            <v>Blockchute</v>
          </cell>
        </row>
        <row r="84">
          <cell r="A84" t="str">
            <v>Blockchute Not Working(LSH002)</v>
          </cell>
          <cell r="G84" t="str">
            <v>Blockchute</v>
          </cell>
        </row>
        <row r="85">
          <cell r="A85" t="str">
            <v>Blockchute Trip</v>
          </cell>
          <cell r="G85" t="str">
            <v>Blockchute</v>
          </cell>
        </row>
        <row r="86">
          <cell r="A86" t="str">
            <v>Blockchute Was Active</v>
          </cell>
          <cell r="G86" t="str">
            <v>Blockchute</v>
          </cell>
        </row>
        <row r="87">
          <cell r="A87" t="str">
            <v>Blue Wire Comms Fault</v>
          </cell>
          <cell r="G87" t="str">
            <v>Comms</v>
          </cell>
        </row>
        <row r="88">
          <cell r="A88" t="str">
            <v>Blue Wire Comms Fault At Pullkey 003B</v>
          </cell>
          <cell r="G88" t="str">
            <v>Comms</v>
          </cell>
        </row>
        <row r="89">
          <cell r="A89" t="str">
            <v>Blue wire coms fault</v>
          </cell>
          <cell r="G89" t="str">
            <v>Comms</v>
          </cell>
        </row>
        <row r="90">
          <cell r="A90" t="str">
            <v>Blue Wire Fault</v>
          </cell>
          <cell r="G90" t="str">
            <v>Fault</v>
          </cell>
        </row>
        <row r="91">
          <cell r="A91" t="str">
            <v>Blue Wire Fault On Belt Tear YS006</v>
          </cell>
          <cell r="G91" t="str">
            <v>Fault</v>
          </cell>
        </row>
        <row r="92">
          <cell r="A92" t="str">
            <v>Chute Does Not Show Limit</v>
          </cell>
          <cell r="G92" t="str">
            <v>Limit</v>
          </cell>
        </row>
        <row r="93">
          <cell r="A93" t="str">
            <v>Chute Doesnt Reach Limit.</v>
          </cell>
          <cell r="G93" t="str">
            <v>Limit</v>
          </cell>
        </row>
        <row r="94">
          <cell r="A94" t="str">
            <v>Chute Doesnt See The Limit.</v>
          </cell>
          <cell r="G94" t="str">
            <v>Limit</v>
          </cell>
        </row>
        <row r="95">
          <cell r="A95" t="str">
            <v>Chute Limit Switch Is Loose.</v>
          </cell>
          <cell r="G95" t="str">
            <v>Limit</v>
          </cell>
        </row>
        <row r="96">
          <cell r="A96" t="str">
            <v>Chute not seeing limit</v>
          </cell>
          <cell r="G96" t="str">
            <v>Limit</v>
          </cell>
        </row>
        <row r="97">
          <cell r="A97" t="str">
            <v>Chute Shuttlecar Shows Retain Fault</v>
          </cell>
          <cell r="G97" t="str">
            <v>Retain</v>
          </cell>
        </row>
        <row r="98">
          <cell r="A98" t="str">
            <v>Clasification Screen Shows CVO, Field</v>
          </cell>
          <cell r="G98" t="str">
            <v>CVO</v>
          </cell>
        </row>
        <row r="99">
          <cell r="A99" t="str">
            <v>CNV trip</v>
          </cell>
          <cell r="G99" t="str">
            <v>Trip</v>
          </cell>
        </row>
        <row r="100">
          <cell r="A100" t="str">
            <v>Configuration Speed Trip Error.</v>
          </cell>
          <cell r="G100" t="str">
            <v>Trip</v>
          </cell>
        </row>
        <row r="101">
          <cell r="A101" t="str">
            <v>Control Voltage Off</v>
          </cell>
          <cell r="G101" t="str">
            <v>CVO</v>
          </cell>
        </row>
        <row r="102">
          <cell r="A102" t="str">
            <v>Conveyer tripped with CVO</v>
          </cell>
          <cell r="G102" t="str">
            <v>CVO</v>
          </cell>
        </row>
        <row r="103">
          <cell r="A103" t="str">
            <v>Conveyor Alarm Kepps On Active.</v>
          </cell>
          <cell r="G103" t="str">
            <v>Alarm</v>
          </cell>
        </row>
        <row r="104">
          <cell r="A104" t="str">
            <v>Conveyor Blockchute Active</v>
          </cell>
          <cell r="G104" t="str">
            <v>Blockchute</v>
          </cell>
        </row>
        <row r="105">
          <cell r="A105" t="str">
            <v>Conveyor Blue Wire Comms Fault</v>
          </cell>
          <cell r="G105" t="str">
            <v>Comms</v>
          </cell>
        </row>
        <row r="106">
          <cell r="A106" t="str">
            <v>Conveyor Came Out On Underspeed</v>
          </cell>
          <cell r="G106" t="str">
            <v>Underspeed</v>
          </cell>
        </row>
        <row r="107">
          <cell r="A107" t="str">
            <v>Conveyor Came Out With CVO</v>
          </cell>
          <cell r="G107" t="str">
            <v>CVO</v>
          </cell>
        </row>
        <row r="108">
          <cell r="A108" t="str">
            <v>Conveyor Came Out With Underspeed</v>
          </cell>
          <cell r="G108" t="str">
            <v>Underspeed</v>
          </cell>
        </row>
        <row r="109">
          <cell r="A109" t="str">
            <v>Conveyor Come Out With External Safety</v>
          </cell>
          <cell r="G109" t="str">
            <v>Safety</v>
          </cell>
        </row>
        <row r="110">
          <cell r="A110" t="str">
            <v>Conveyor Comes Out On Underspeed</v>
          </cell>
          <cell r="G110" t="str">
            <v>Underspeed</v>
          </cell>
        </row>
        <row r="111">
          <cell r="A111" t="str">
            <v>Conveyor Comes Out Underspeed</v>
          </cell>
          <cell r="G111" t="str">
            <v>Underspeed</v>
          </cell>
        </row>
        <row r="112">
          <cell r="A112" t="str">
            <v>Conveyor Comes Out With CVO.</v>
          </cell>
          <cell r="G112" t="str">
            <v>CVO</v>
          </cell>
        </row>
        <row r="113">
          <cell r="A113" t="str">
            <v>Conveyor Comes Out With External Safety</v>
          </cell>
          <cell r="G113" t="str">
            <v>Safety</v>
          </cell>
        </row>
        <row r="114">
          <cell r="A114" t="str">
            <v>Conveyor Comes Out With Underspeed</v>
          </cell>
          <cell r="G114" t="str">
            <v>Underspeed</v>
          </cell>
        </row>
        <row r="115">
          <cell r="A115" t="str">
            <v>Conveyor Comes Out With Underspeed.</v>
          </cell>
          <cell r="G115" t="str">
            <v>Underspeed</v>
          </cell>
        </row>
        <row r="116">
          <cell r="A116" t="str">
            <v>Conveyor does not have interlock</v>
          </cell>
          <cell r="G116" t="str">
            <v>Interlock</v>
          </cell>
        </row>
        <row r="117">
          <cell r="A117" t="str">
            <v>Conveyor Does Not Move</v>
          </cell>
          <cell r="G117" t="str">
            <v>Fault</v>
          </cell>
        </row>
        <row r="118">
          <cell r="A118" t="str">
            <v>Conveyor Does Not Want To Reset Belt</v>
          </cell>
          <cell r="G118" t="str">
            <v>Retain</v>
          </cell>
        </row>
        <row r="119">
          <cell r="A119" t="str">
            <v>Conveyor Does Not Want To Start</v>
          </cell>
          <cell r="G119" t="str">
            <v>Fault</v>
          </cell>
        </row>
        <row r="120">
          <cell r="A120" t="str">
            <v>Conveyor Doesnt Want To Start.</v>
          </cell>
          <cell r="G120" t="str">
            <v>Fault</v>
          </cell>
        </row>
        <row r="121">
          <cell r="A121" t="str">
            <v>Conveyor Drive And External Fault Trip</v>
          </cell>
          <cell r="G121" t="str">
            <v>Fault</v>
          </cell>
        </row>
        <row r="122">
          <cell r="A122" t="str">
            <v>Conveyor Drive Overcurrent Trip</v>
          </cell>
          <cell r="G122" t="str">
            <v>Trip</v>
          </cell>
        </row>
        <row r="123">
          <cell r="A123" t="str">
            <v>Conveyor Drive Trip</v>
          </cell>
          <cell r="G123" t="str">
            <v>Trip</v>
          </cell>
        </row>
        <row r="124">
          <cell r="A124" t="str">
            <v>Conveyor Has A Stop</v>
          </cell>
          <cell r="G124" t="str">
            <v>Safety</v>
          </cell>
        </row>
        <row r="125">
          <cell r="A125" t="str">
            <v>Conveyor has Alarm.</v>
          </cell>
          <cell r="G125" t="str">
            <v>Alarm</v>
          </cell>
        </row>
        <row r="126">
          <cell r="A126" t="str">
            <v>Conveyor Interlocked by B101 LT014</v>
          </cell>
          <cell r="G126" t="str">
            <v>Interlock</v>
          </cell>
        </row>
        <row r="127">
          <cell r="A127" t="str">
            <v>Conveyor Interlocked By Bin High High.</v>
          </cell>
          <cell r="G127" t="str">
            <v>Limit</v>
          </cell>
        </row>
        <row r="128">
          <cell r="A128" t="str">
            <v>Conveyor Is Interlocked By Screen 409-10</v>
          </cell>
          <cell r="G128" t="str">
            <v>Interlock</v>
          </cell>
        </row>
        <row r="129">
          <cell r="A129" t="str">
            <v>Conveyor Is Running Slow.</v>
          </cell>
          <cell r="G129" t="str">
            <v>Underspeed</v>
          </cell>
        </row>
        <row r="130">
          <cell r="A130" t="str">
            <v>Conveyor Is Showing CVO, Field Stop</v>
          </cell>
          <cell r="G130" t="str">
            <v>CVO</v>
          </cell>
        </row>
        <row r="131">
          <cell r="A131" t="str">
            <v>Conveyor Is Showing External Safety</v>
          </cell>
          <cell r="G131" t="str">
            <v>Safety</v>
          </cell>
        </row>
        <row r="132">
          <cell r="A132" t="str">
            <v>Conveyor Is Showing Field Stop</v>
          </cell>
          <cell r="G132" t="str">
            <v>Safety</v>
          </cell>
        </row>
        <row r="133">
          <cell r="A133" t="str">
            <v>Conveyor Is Showing Retain Fault</v>
          </cell>
          <cell r="G133" t="str">
            <v>Retain</v>
          </cell>
        </row>
        <row r="134">
          <cell r="A134" t="str">
            <v>Conveyor Is Whipping Belt Tear</v>
          </cell>
          <cell r="G134" t="str">
            <v>Tear</v>
          </cell>
        </row>
        <row r="135">
          <cell r="A135" t="str">
            <v>Conveyor Keeps On Coming Out With</v>
          </cell>
          <cell r="G135" t="str">
            <v>Retain</v>
          </cell>
        </row>
        <row r="136">
          <cell r="A136" t="str">
            <v>Conveyor Keeps On Tripping With</v>
          </cell>
          <cell r="G136" t="str">
            <v>Trip</v>
          </cell>
        </row>
        <row r="137">
          <cell r="A137" t="str">
            <v>Conveyor Limit Was Out Of Position</v>
          </cell>
          <cell r="G137" t="str">
            <v>Limit</v>
          </cell>
        </row>
        <row r="138">
          <cell r="A138" t="str">
            <v>Conveyor Overload.</v>
          </cell>
          <cell r="G138" t="str">
            <v>Limit</v>
          </cell>
        </row>
        <row r="139">
          <cell r="A139" t="str">
            <v>Conveyor Position Limit Loose</v>
          </cell>
          <cell r="G139" t="str">
            <v>Limit</v>
          </cell>
        </row>
        <row r="140">
          <cell r="A140" t="str">
            <v>Conveyor Pullkey HS012B Does Not</v>
          </cell>
          <cell r="G140" t="str">
            <v>Safety</v>
          </cell>
        </row>
        <row r="141">
          <cell r="A141" t="str">
            <v>Conveyor Scale Differ.</v>
          </cell>
          <cell r="G141" t="str">
            <v>Scale</v>
          </cell>
        </row>
        <row r="142">
          <cell r="A142" t="str">
            <v>Conveyor Show Blue Wire Comms Fault At</v>
          </cell>
          <cell r="G142" t="str">
            <v>Comms</v>
          </cell>
        </row>
        <row r="143">
          <cell r="A143" t="str">
            <v>Conveyor Show Blue Wire Comms Fault On</v>
          </cell>
          <cell r="G143" t="str">
            <v>Comms</v>
          </cell>
        </row>
        <row r="144">
          <cell r="A144" t="str">
            <v>Conveyor Show CT System Comms Failure</v>
          </cell>
          <cell r="G144" t="str">
            <v>Comms</v>
          </cell>
        </row>
        <row r="145">
          <cell r="A145" t="str">
            <v>Conveyor Show CVO</v>
          </cell>
          <cell r="G145" t="str">
            <v>CVO</v>
          </cell>
        </row>
        <row r="146">
          <cell r="A146" t="str">
            <v>Conveyor Show CVO And Stop Healthy</v>
          </cell>
          <cell r="G146" t="str">
            <v>CVO</v>
          </cell>
        </row>
        <row r="147">
          <cell r="A147" t="str">
            <v>Conveyor Show External Safety</v>
          </cell>
          <cell r="G147" t="str">
            <v>Safety</v>
          </cell>
        </row>
        <row r="148">
          <cell r="A148" t="str">
            <v>Conveyor Show External Safety Shutdown</v>
          </cell>
          <cell r="G148" t="str">
            <v>Safety</v>
          </cell>
        </row>
        <row r="149">
          <cell r="A149" t="str">
            <v>Conveyor Show Metal Detector</v>
          </cell>
          <cell r="G149" t="str">
            <v>Metal Detector</v>
          </cell>
        </row>
        <row r="150">
          <cell r="A150" t="str">
            <v>Conveyor Show Underspeed</v>
          </cell>
          <cell r="G150" t="str">
            <v>Underspeed</v>
          </cell>
        </row>
        <row r="151">
          <cell r="A151" t="str">
            <v>Conveyor showa general sima code</v>
          </cell>
          <cell r="G151" t="str">
            <v>Fault</v>
          </cell>
        </row>
        <row r="152">
          <cell r="A152" t="str">
            <v>Conveyor Shows Alarm Present</v>
          </cell>
          <cell r="G152" t="str">
            <v>Alarm</v>
          </cell>
        </row>
        <row r="153">
          <cell r="A153" t="str">
            <v>Conveyor Shows Belt Tear Tail.</v>
          </cell>
          <cell r="G153" t="str">
            <v>Tear</v>
          </cell>
        </row>
        <row r="154">
          <cell r="A154" t="str">
            <v>Conveyor Shows Belt Tear YS001</v>
          </cell>
          <cell r="G154" t="str">
            <v>Tear</v>
          </cell>
        </row>
        <row r="155">
          <cell r="A155" t="str">
            <v>Conveyor Shows Belt Tear.</v>
          </cell>
          <cell r="G155" t="str">
            <v>Tear</v>
          </cell>
        </row>
        <row r="156">
          <cell r="A156" t="str">
            <v>Conveyor Shows Block Chute</v>
          </cell>
          <cell r="G156" t="str">
            <v>Blockchute</v>
          </cell>
        </row>
        <row r="157">
          <cell r="A157" t="str">
            <v>Conveyor Shows Block Chute But Clean Out</v>
          </cell>
          <cell r="G157" t="str">
            <v>Blockchute</v>
          </cell>
        </row>
        <row r="158">
          <cell r="A158" t="str">
            <v>Conveyor Shows Blockchute.</v>
          </cell>
          <cell r="G158" t="str">
            <v>Blockchute</v>
          </cell>
        </row>
        <row r="159">
          <cell r="A159" t="str">
            <v>Conveyor Shows Blue Wire Comms Fault</v>
          </cell>
          <cell r="G159" t="str">
            <v>Comms</v>
          </cell>
        </row>
        <row r="160">
          <cell r="A160" t="str">
            <v>Conveyor Shows Blue Wire Comms.</v>
          </cell>
          <cell r="G160" t="str">
            <v>Comms</v>
          </cell>
        </row>
        <row r="161">
          <cell r="A161" t="str">
            <v>Conveyor Shows Both Limits.</v>
          </cell>
          <cell r="G161" t="str">
            <v>Limit</v>
          </cell>
        </row>
        <row r="162">
          <cell r="A162" t="str">
            <v>Conveyor Shows CT System Comms Failure</v>
          </cell>
          <cell r="G162" t="str">
            <v>Comms</v>
          </cell>
        </row>
        <row r="163">
          <cell r="A163" t="str">
            <v>Conveyor Shows CT Underspeed</v>
          </cell>
          <cell r="G163" t="str">
            <v>Underspeed</v>
          </cell>
        </row>
        <row r="164">
          <cell r="A164" t="str">
            <v>Conveyor Shows CVO</v>
          </cell>
          <cell r="G164" t="str">
            <v>CVO</v>
          </cell>
        </row>
        <row r="165">
          <cell r="A165" t="str">
            <v>Conveyor Shows CVO &amp; F/S.</v>
          </cell>
          <cell r="G165" t="str">
            <v>CVO</v>
          </cell>
        </row>
        <row r="166">
          <cell r="A166" t="str">
            <v>Conveyor Shows CVO And Auto Reset</v>
          </cell>
          <cell r="G166" t="str">
            <v>CVO</v>
          </cell>
        </row>
        <row r="167">
          <cell r="A167" t="str">
            <v>Conveyor Shows CVO, Comms And Field</v>
          </cell>
          <cell r="G167" t="str">
            <v>CVO</v>
          </cell>
        </row>
        <row r="168">
          <cell r="A168" t="str">
            <v>Conveyor Shows CVO, External Safety</v>
          </cell>
          <cell r="G168" t="str">
            <v>CVO</v>
          </cell>
        </row>
        <row r="169">
          <cell r="A169" t="str">
            <v>Conveyor Shows CVO, Field Stop And</v>
          </cell>
          <cell r="G169" t="str">
            <v>CVO</v>
          </cell>
        </row>
        <row r="170">
          <cell r="A170" t="str">
            <v>Conveyor Shows CVO.</v>
          </cell>
          <cell r="G170" t="str">
            <v>CVO</v>
          </cell>
        </row>
        <row r="171">
          <cell r="A171" t="str">
            <v>Conveyor shows cvon</v>
          </cell>
          <cell r="G171" t="str">
            <v>CVO</v>
          </cell>
        </row>
        <row r="172">
          <cell r="A172" t="str">
            <v>Conveyor Shows Drive Fault</v>
          </cell>
          <cell r="G172" t="str">
            <v>Fault</v>
          </cell>
        </row>
        <row r="173">
          <cell r="A173" t="str">
            <v>Conveyor Shows Drive Overcurrent.</v>
          </cell>
          <cell r="G173" t="str">
            <v>Limit</v>
          </cell>
        </row>
        <row r="174">
          <cell r="A174" t="str">
            <v>Conveyor Shows Drive Trip</v>
          </cell>
          <cell r="G174" t="str">
            <v>Trip</v>
          </cell>
        </row>
        <row r="175">
          <cell r="A175" t="str">
            <v>Conveyor Shows Drive Trip.</v>
          </cell>
          <cell r="G175" t="str">
            <v>Trip</v>
          </cell>
        </row>
        <row r="176">
          <cell r="A176" t="str">
            <v>Conveyor Shows External Safety Shutdown</v>
          </cell>
          <cell r="G176" t="str">
            <v>Safety</v>
          </cell>
        </row>
        <row r="177">
          <cell r="A177" t="str">
            <v>Conveyor Shows External Safety Shutdown.</v>
          </cell>
          <cell r="G177" t="str">
            <v>Safety</v>
          </cell>
        </row>
        <row r="178">
          <cell r="A178" t="str">
            <v>Conveyor Shows Fault Error</v>
          </cell>
          <cell r="G178" t="str">
            <v>Fault</v>
          </cell>
        </row>
        <row r="179">
          <cell r="A179" t="str">
            <v>Conveyor Shows Fault Present</v>
          </cell>
          <cell r="G179" t="str">
            <v>Fault</v>
          </cell>
        </row>
        <row r="180">
          <cell r="A180" t="str">
            <v>Conveyor Shows Fault Present And Fault</v>
          </cell>
          <cell r="G180" t="str">
            <v>Fault</v>
          </cell>
        </row>
        <row r="181">
          <cell r="A181" t="str">
            <v>Conveyor Shows Fault Present.</v>
          </cell>
          <cell r="G181" t="str">
            <v>Fault</v>
          </cell>
        </row>
        <row r="182">
          <cell r="A182" t="str">
            <v>Conveyor Shows Field Stop</v>
          </cell>
          <cell r="G182" t="str">
            <v>Safety</v>
          </cell>
        </row>
        <row r="183">
          <cell r="A183" t="str">
            <v>Conveyor Shows Field Stop And Double</v>
          </cell>
          <cell r="G183" t="str">
            <v>Safety</v>
          </cell>
        </row>
        <row r="184">
          <cell r="A184" t="str">
            <v>Conveyor Shows Field Stop.</v>
          </cell>
          <cell r="G184" t="str">
            <v>Safety</v>
          </cell>
        </row>
        <row r="185">
          <cell r="A185" t="str">
            <v>Conveyor Shows Hecu  Blue Wire Comms</v>
          </cell>
          <cell r="G185" t="str">
            <v>Comms</v>
          </cell>
        </row>
        <row r="186">
          <cell r="A186" t="str">
            <v>Conveyor Shows High Tonnage While</v>
          </cell>
          <cell r="G186" t="str">
            <v>Limit</v>
          </cell>
        </row>
        <row r="187">
          <cell r="A187" t="str">
            <v>Conveyor Shows Mismatch Communication</v>
          </cell>
          <cell r="G187" t="str">
            <v>Fault</v>
          </cell>
        </row>
        <row r="188">
          <cell r="A188" t="str">
            <v>Conveyor Shows Mismatch Detected</v>
          </cell>
          <cell r="G188" t="str">
            <v>Fault</v>
          </cell>
        </row>
        <row r="189">
          <cell r="A189" t="str">
            <v>Conveyor Shows Motor Encoder Fault</v>
          </cell>
          <cell r="G189" t="str">
            <v>Fault</v>
          </cell>
        </row>
        <row r="190">
          <cell r="A190" t="str">
            <v>Conveyor Shows No Interlock</v>
          </cell>
          <cell r="G190" t="str">
            <v>Interlock</v>
          </cell>
        </row>
        <row r="191">
          <cell r="A191" t="str">
            <v>Conveyor Shows Operational Interlock</v>
          </cell>
          <cell r="G191" t="str">
            <v>Interlock</v>
          </cell>
        </row>
        <row r="192">
          <cell r="A192" t="str">
            <v>Conveyor Shows PLC Comms Failure</v>
          </cell>
          <cell r="G192" t="str">
            <v>Comms</v>
          </cell>
        </row>
        <row r="193">
          <cell r="A193" t="str">
            <v>Conveyor Shows Pullkey HS010B</v>
          </cell>
          <cell r="G193" t="str">
            <v>Safety</v>
          </cell>
        </row>
        <row r="194">
          <cell r="A194" t="str">
            <v>Conveyor Shows Pullwire 3B</v>
          </cell>
          <cell r="G194" t="str">
            <v>Safety</v>
          </cell>
        </row>
        <row r="195">
          <cell r="A195" t="str">
            <v>Conveyor Shows Pullwire A</v>
          </cell>
          <cell r="G195" t="str">
            <v>Safety</v>
          </cell>
        </row>
        <row r="196">
          <cell r="A196" t="str">
            <v>Conveyor Shows Pullwire HS001A</v>
          </cell>
          <cell r="G196" t="str">
            <v>Safety</v>
          </cell>
        </row>
        <row r="197">
          <cell r="A197" t="str">
            <v>Conveyor Shows Retain Fault</v>
          </cell>
          <cell r="G197" t="str">
            <v>Retain</v>
          </cell>
        </row>
        <row r="198">
          <cell r="A198" t="str">
            <v>Conveyor Shows Retain Fault.</v>
          </cell>
          <cell r="G198" t="str">
            <v>Retain</v>
          </cell>
        </row>
        <row r="199">
          <cell r="A199" t="str">
            <v>Conveyor Shows Return Fault</v>
          </cell>
          <cell r="G199" t="str">
            <v>Retain</v>
          </cell>
        </row>
        <row r="200">
          <cell r="A200" t="str">
            <v>Conveyor Shows Sima Code Fault</v>
          </cell>
          <cell r="G200" t="str">
            <v>Fault</v>
          </cell>
        </row>
        <row r="201">
          <cell r="A201" t="str">
            <v>Conveyor Shows Stop</v>
          </cell>
          <cell r="G201" t="str">
            <v>Safety</v>
          </cell>
        </row>
        <row r="202">
          <cell r="A202" t="str">
            <v>Conveyor Shows Stop Healthy</v>
          </cell>
          <cell r="G202" t="str">
            <v>Safety</v>
          </cell>
        </row>
        <row r="203">
          <cell r="A203" t="str">
            <v>Conveyor Shows Stop Healthy.</v>
          </cell>
          <cell r="G203" t="str">
            <v>Safety</v>
          </cell>
        </row>
        <row r="204">
          <cell r="A204" t="str">
            <v>Conveyor Shows Stop.</v>
          </cell>
          <cell r="G204" t="str">
            <v>Safety</v>
          </cell>
        </row>
        <row r="205">
          <cell r="A205" t="str">
            <v>Conveyor Shows Underpeed</v>
          </cell>
          <cell r="G205" t="str">
            <v>Underspeed</v>
          </cell>
        </row>
        <row r="206">
          <cell r="A206" t="str">
            <v>Conveyor Shows Underspeed</v>
          </cell>
          <cell r="G206" t="str">
            <v>Underspeed</v>
          </cell>
        </row>
        <row r="207">
          <cell r="A207" t="str">
            <v>Conveyor Shows Underspeed.</v>
          </cell>
          <cell r="G207" t="str">
            <v>Underspeed</v>
          </cell>
        </row>
        <row r="208">
          <cell r="A208" t="str">
            <v>Conveyor Standing With Underspeed.</v>
          </cell>
          <cell r="G208" t="str">
            <v>Underspeed</v>
          </cell>
        </row>
        <row r="209">
          <cell r="A209" t="str">
            <v>Conveyor Start Up Alarm Active</v>
          </cell>
          <cell r="G209" t="str">
            <v>Alarm</v>
          </cell>
        </row>
        <row r="210">
          <cell r="A210" t="str">
            <v>Conveyor Trip On Drive Fault.</v>
          </cell>
          <cell r="G210" t="str">
            <v>Trip</v>
          </cell>
        </row>
        <row r="211">
          <cell r="A211" t="str">
            <v>Conveyor Trip On Fault Present.</v>
          </cell>
          <cell r="G211" t="str">
            <v>Fault</v>
          </cell>
        </row>
        <row r="212">
          <cell r="A212" t="str">
            <v>Conveyor tripped</v>
          </cell>
          <cell r="G212" t="str">
            <v>Trip</v>
          </cell>
        </row>
        <row r="213">
          <cell r="A213" t="str">
            <v>Conveyor Tripped On CVO.</v>
          </cell>
          <cell r="G213" t="str">
            <v>CVO</v>
          </cell>
        </row>
        <row r="214">
          <cell r="A214" t="str">
            <v>Conveyor tripped on field stop</v>
          </cell>
          <cell r="G214" t="str">
            <v>Safety</v>
          </cell>
        </row>
        <row r="215">
          <cell r="A215" t="str">
            <v>Conveyor Tripped On Misalignment 001.</v>
          </cell>
          <cell r="G215" t="str">
            <v>Fault</v>
          </cell>
        </row>
        <row r="216">
          <cell r="A216" t="str">
            <v>Conveyor Tripped On Motor Overtemp.</v>
          </cell>
          <cell r="G216" t="str">
            <v>Limit</v>
          </cell>
        </row>
        <row r="217">
          <cell r="A217" t="str">
            <v>Conveyor Tripped On Overload</v>
          </cell>
          <cell r="G217" t="str">
            <v>Limit</v>
          </cell>
        </row>
        <row r="218">
          <cell r="A218" t="str">
            <v>Conveyor Tripped With Belt Alignment.</v>
          </cell>
          <cell r="G218" t="str">
            <v>Trip</v>
          </cell>
        </row>
        <row r="219">
          <cell r="A219" t="str">
            <v>Conveyor Tripped With Belt Tear.</v>
          </cell>
          <cell r="G219" t="str">
            <v>Tear</v>
          </cell>
        </row>
        <row r="220">
          <cell r="A220" t="str">
            <v>Conveyor Tripped With Blue Wire Comms</v>
          </cell>
          <cell r="G220" t="str">
            <v>Comms</v>
          </cell>
        </row>
        <row r="221">
          <cell r="A221" t="str">
            <v>Conveyor Tripped With External Safety</v>
          </cell>
          <cell r="G221" t="str">
            <v>Safety</v>
          </cell>
        </row>
        <row r="222">
          <cell r="A222" t="str">
            <v>Conveyor Tripped With Lot Of Faults.</v>
          </cell>
          <cell r="G222" t="str">
            <v>Fault</v>
          </cell>
        </row>
        <row r="223">
          <cell r="A223" t="str">
            <v>Conveyor Tripped With Stop Healthy.</v>
          </cell>
          <cell r="G223" t="str">
            <v>Trip</v>
          </cell>
        </row>
        <row r="224">
          <cell r="A224" t="str">
            <v>Conveyor Tripped With Underspeed</v>
          </cell>
          <cell r="G224" t="str">
            <v>Underspeed</v>
          </cell>
        </row>
        <row r="225">
          <cell r="A225" t="str">
            <v>Conveyor Tripped With Underspeed.</v>
          </cell>
          <cell r="G225" t="str">
            <v>Underspeed</v>
          </cell>
        </row>
        <row r="226">
          <cell r="A226" t="str">
            <v>Conveyor Tripped With VSD Setpoint</v>
          </cell>
          <cell r="G226" t="str">
            <v>Trip</v>
          </cell>
        </row>
        <row r="227">
          <cell r="A227" t="str">
            <v>Conveyor Tripped Without Indication</v>
          </cell>
          <cell r="G227" t="str">
            <v>Trip</v>
          </cell>
        </row>
        <row r="228">
          <cell r="A228" t="str">
            <v>Conveyor Tripped.</v>
          </cell>
          <cell r="G228" t="str">
            <v>Trip</v>
          </cell>
        </row>
        <row r="229">
          <cell r="A229" t="str">
            <v>Conveyor Trips On CVO Comms.</v>
          </cell>
          <cell r="G229" t="str">
            <v>Comms</v>
          </cell>
        </row>
        <row r="230">
          <cell r="A230" t="str">
            <v>CT Systems</v>
          </cell>
          <cell r="G230" t="str">
            <v>Comms</v>
          </cell>
        </row>
        <row r="231">
          <cell r="A231" t="str">
            <v>CT Systems Comms Failer</v>
          </cell>
          <cell r="G231" t="str">
            <v>Comms</v>
          </cell>
        </row>
        <row r="232">
          <cell r="A232" t="str">
            <v>CT Sytem Comms Failure.</v>
          </cell>
          <cell r="G232" t="str">
            <v>Comms</v>
          </cell>
        </row>
        <row r="233">
          <cell r="A233" t="str">
            <v>CVO &amp; Comms.</v>
          </cell>
          <cell r="G233" t="str">
            <v>Comms</v>
          </cell>
        </row>
        <row r="234">
          <cell r="A234" t="str">
            <v>CVO &amp; Field Stop.</v>
          </cell>
          <cell r="G234" t="str">
            <v>Safety</v>
          </cell>
        </row>
        <row r="235">
          <cell r="A235" t="str">
            <v>CVO &amp; Stop Healthy.</v>
          </cell>
          <cell r="G235" t="str">
            <v>Comms</v>
          </cell>
        </row>
        <row r="236">
          <cell r="A236" t="str">
            <v>CVO And Comms</v>
          </cell>
          <cell r="G236" t="str">
            <v>Comms</v>
          </cell>
        </row>
        <row r="237">
          <cell r="A237" t="str">
            <v>CVO And Field Stop</v>
          </cell>
          <cell r="G237" t="str">
            <v>Safety</v>
          </cell>
        </row>
        <row r="238">
          <cell r="A238" t="str">
            <v>CVO And Field Stop.</v>
          </cell>
          <cell r="G238" t="str">
            <v>Safety</v>
          </cell>
        </row>
        <row r="239">
          <cell r="A239" t="str">
            <v>CVO, Comms</v>
          </cell>
          <cell r="G239" t="str">
            <v>Comms</v>
          </cell>
        </row>
        <row r="240">
          <cell r="A240" t="str">
            <v>CVO.</v>
          </cell>
          <cell r="G240" t="str">
            <v>CVO</v>
          </cell>
        </row>
        <row r="241">
          <cell r="A241" t="str">
            <v>CVOff.</v>
          </cell>
          <cell r="G241" t="str">
            <v>CVO</v>
          </cell>
        </row>
        <row r="242">
          <cell r="A242" t="str">
            <v>Does Not Reset</v>
          </cell>
          <cell r="G242" t="str">
            <v>Retain</v>
          </cell>
        </row>
        <row r="243">
          <cell r="A243" t="str">
            <v>Doesnt Want To Start.</v>
          </cell>
          <cell r="G243" t="str">
            <v>Fault</v>
          </cell>
        </row>
        <row r="244">
          <cell r="A244" t="str">
            <v>Double Indication.</v>
          </cell>
          <cell r="G244" t="str">
            <v>Fault</v>
          </cell>
        </row>
        <row r="245">
          <cell r="A245" t="str">
            <v>Drive MCC Trip.</v>
          </cell>
          <cell r="G245" t="str">
            <v>Trip</v>
          </cell>
        </row>
        <row r="246">
          <cell r="A246" t="str">
            <v>Drive MCC Tripped</v>
          </cell>
          <cell r="G246" t="str">
            <v>Trip</v>
          </cell>
        </row>
        <row r="247">
          <cell r="A247" t="str">
            <v>Drive Trip</v>
          </cell>
          <cell r="G247" t="str">
            <v>Trip</v>
          </cell>
        </row>
        <row r="248">
          <cell r="A248" t="str">
            <v>Drive Trip &amp; Stop Healthy.</v>
          </cell>
          <cell r="G248" t="str">
            <v>Trip</v>
          </cell>
        </row>
        <row r="249">
          <cell r="A249" t="str">
            <v>Drive Trip VSD Fault</v>
          </cell>
          <cell r="G249" t="str">
            <v>Trip</v>
          </cell>
        </row>
        <row r="250">
          <cell r="A250" t="str">
            <v>Drive Trip, VSD Fault.</v>
          </cell>
          <cell r="G250" t="str">
            <v>Trip</v>
          </cell>
        </row>
        <row r="251">
          <cell r="A251" t="str">
            <v>Drive Trip.</v>
          </cell>
          <cell r="G251" t="str">
            <v>Trip</v>
          </cell>
        </row>
        <row r="252">
          <cell r="A252" t="str">
            <v>Drive Tripped</v>
          </cell>
          <cell r="G252" t="str">
            <v>Trip</v>
          </cell>
        </row>
        <row r="253">
          <cell r="A253" t="str">
            <v>External Safety Shut Down</v>
          </cell>
          <cell r="G253" t="str">
            <v>Safety</v>
          </cell>
        </row>
        <row r="254">
          <cell r="A254" t="str">
            <v>External Safety Shutdown</v>
          </cell>
          <cell r="G254" t="str">
            <v>Safety</v>
          </cell>
        </row>
        <row r="255">
          <cell r="A255" t="str">
            <v>External Safety Shutdown &amp; fault Present</v>
          </cell>
          <cell r="G255" t="str">
            <v>Safety</v>
          </cell>
        </row>
        <row r="256">
          <cell r="A256" t="str">
            <v>External Safety Shutdown &amp; Faults</v>
          </cell>
          <cell r="G256" t="str">
            <v>Safety</v>
          </cell>
        </row>
        <row r="257">
          <cell r="A257" t="str">
            <v>External Safety Shutdown &amp;Fault Present.</v>
          </cell>
          <cell r="G257" t="str">
            <v>Safety</v>
          </cell>
        </row>
        <row r="258">
          <cell r="A258" t="str">
            <v>External Safety Shutdown .</v>
          </cell>
          <cell r="G258" t="str">
            <v>Safety</v>
          </cell>
        </row>
        <row r="259">
          <cell r="A259" t="str">
            <v>External Safety Shutdown And Alarm Prese</v>
          </cell>
          <cell r="G259" t="str">
            <v>Safety</v>
          </cell>
        </row>
        <row r="260">
          <cell r="A260" t="str">
            <v>External Safety Shutdown And Fault Prese</v>
          </cell>
          <cell r="G260" t="str">
            <v>Safety</v>
          </cell>
        </row>
        <row r="261">
          <cell r="A261" t="str">
            <v>External Safety Shutdown, Fault Present</v>
          </cell>
          <cell r="G261" t="str">
            <v>Safety</v>
          </cell>
        </row>
        <row r="262">
          <cell r="A262" t="str">
            <v>External Safety Shutdown.</v>
          </cell>
          <cell r="G262" t="str">
            <v>Safety</v>
          </cell>
        </row>
        <row r="263">
          <cell r="A263" t="str">
            <v>External Safety Tripped</v>
          </cell>
          <cell r="G263" t="str">
            <v>Safety</v>
          </cell>
        </row>
        <row r="264">
          <cell r="A264" t="str">
            <v>Failed To Start.</v>
          </cell>
          <cell r="G264" t="str">
            <v>Fault</v>
          </cell>
        </row>
        <row r="265">
          <cell r="A265" t="str">
            <v>Fault drive power electronics</v>
          </cell>
          <cell r="G265" t="str">
            <v>Fault</v>
          </cell>
        </row>
        <row r="266">
          <cell r="A266" t="str">
            <v>Fault Present,Fault Power Electronics.</v>
          </cell>
          <cell r="G266" t="str">
            <v>Fault</v>
          </cell>
        </row>
        <row r="267">
          <cell r="A267" t="str">
            <v>Feed Conveyor Shows CVO</v>
          </cell>
          <cell r="G267" t="str">
            <v>CVO</v>
          </cell>
        </row>
        <row r="268">
          <cell r="A268" t="str">
            <v>Feed Conveyor Shows Stop Healthy.</v>
          </cell>
          <cell r="G268" t="str">
            <v>Safety</v>
          </cell>
        </row>
        <row r="269">
          <cell r="A269" t="str">
            <v>Feed Conveyor Shows Underspeed</v>
          </cell>
          <cell r="G269" t="str">
            <v>Underspeed</v>
          </cell>
        </row>
        <row r="270">
          <cell r="A270" t="str">
            <v>feeder giving toomuch feed</v>
          </cell>
          <cell r="G270" t="str">
            <v>Limit</v>
          </cell>
        </row>
        <row r="271">
          <cell r="A271" t="str">
            <v>Field Stop And  Pullwire B.</v>
          </cell>
          <cell r="G271" t="str">
            <v>Safety</v>
          </cell>
        </row>
        <row r="272">
          <cell r="A272" t="str">
            <v>Flopper Chute Does Not Show Limit</v>
          </cell>
          <cell r="G272" t="str">
            <v>Limit</v>
          </cell>
        </row>
        <row r="273">
          <cell r="A273" t="str">
            <v>Fluctuate From 900Tonnes to 0Tones</v>
          </cell>
          <cell r="G273" t="str">
            <v>Scale</v>
          </cell>
        </row>
        <row r="274">
          <cell r="A274" t="str">
            <v>General Sima-code Fault.</v>
          </cell>
          <cell r="G274" t="str">
            <v>Fault</v>
          </cell>
        </row>
        <row r="275">
          <cell r="A275" t="str">
            <v>GG1 Filter Product Conveyor Drive Trip</v>
          </cell>
          <cell r="G275" t="str">
            <v>Trip</v>
          </cell>
        </row>
        <row r="276">
          <cell r="A276" t="str">
            <v>GG2 Filter Is Showing Retain Fault</v>
          </cell>
          <cell r="G276" t="str">
            <v>Retain</v>
          </cell>
        </row>
        <row r="277">
          <cell r="A277" t="str">
            <v>GG3 Conveyor Shows Stop Healthy</v>
          </cell>
          <cell r="G277" t="str">
            <v>Safety</v>
          </cell>
        </row>
        <row r="278">
          <cell r="A278" t="str">
            <v>GG4 Conveyor Shows Retain Fault</v>
          </cell>
          <cell r="G278" t="str">
            <v>Retain</v>
          </cell>
        </row>
        <row r="279">
          <cell r="A279" t="str">
            <v>GG4 Scale Wheel Defected</v>
          </cell>
          <cell r="G279" t="str">
            <v>Scale</v>
          </cell>
        </row>
        <row r="280">
          <cell r="A280" t="str">
            <v>GG5 Break And Screen Scale Read 320</v>
          </cell>
          <cell r="G280" t="str">
            <v>Scale</v>
          </cell>
        </row>
        <row r="281">
          <cell r="A281" t="str">
            <v>GG5 Scale Belt Is Empty But Is Counting</v>
          </cell>
          <cell r="G281" t="str">
            <v>Scale</v>
          </cell>
        </row>
        <row r="282">
          <cell r="A282" t="str">
            <v>Hecu Blue Comms Fault,Hand Switch HS007B</v>
          </cell>
          <cell r="G282" t="str">
            <v>Comms</v>
          </cell>
        </row>
        <row r="283">
          <cell r="A283" t="str">
            <v>HECU Blue Wire Comms Fault</v>
          </cell>
          <cell r="G283" t="str">
            <v>Comms</v>
          </cell>
        </row>
        <row r="284">
          <cell r="A284" t="str">
            <v>Hecu Blue Wire Comms Fault HS 013A Pullk</v>
          </cell>
          <cell r="G284" t="str">
            <v>Comms</v>
          </cell>
        </row>
        <row r="285">
          <cell r="A285" t="str">
            <v>Hecu Blue Wire Comms Fault.</v>
          </cell>
          <cell r="G285" t="str">
            <v>Comms</v>
          </cell>
        </row>
        <row r="286">
          <cell r="A286" t="str">
            <v>Hecu Blue Wire Fault Pullwire HS 003B.</v>
          </cell>
          <cell r="G286" t="str">
            <v>Comms</v>
          </cell>
        </row>
        <row r="287">
          <cell r="A287" t="str">
            <v>Hecu Blue Wire Fault.</v>
          </cell>
          <cell r="G287" t="str">
            <v>Comms</v>
          </cell>
        </row>
        <row r="288">
          <cell r="A288" t="str">
            <v>Hecu Configuration Trip.</v>
          </cell>
          <cell r="G288" t="str">
            <v>Comms</v>
          </cell>
        </row>
        <row r="289">
          <cell r="A289" t="str">
            <v>HS005B Pullwire Active.</v>
          </cell>
          <cell r="G289" t="str">
            <v>Safety</v>
          </cell>
        </row>
        <row r="290">
          <cell r="A290" t="str">
            <v>HS900 Trapper Pullkey Active</v>
          </cell>
          <cell r="G290" t="str">
            <v>Safety</v>
          </cell>
        </row>
        <row r="291">
          <cell r="A291" t="str">
            <v>Hydraulic Powerpack Show Hecu No Comms</v>
          </cell>
          <cell r="G291" t="str">
            <v>Comms</v>
          </cell>
        </row>
        <row r="292">
          <cell r="A292" t="str">
            <v>Limit Not Showing</v>
          </cell>
          <cell r="G292" t="str">
            <v>Limit</v>
          </cell>
        </row>
        <row r="293">
          <cell r="A293" t="str">
            <v>Limit Switch Flactuating</v>
          </cell>
          <cell r="G293" t="str">
            <v>Limit</v>
          </cell>
        </row>
        <row r="294">
          <cell r="A294" t="str">
            <v>Limit Switch Giving Induction</v>
          </cell>
          <cell r="G294" t="str">
            <v>Limit</v>
          </cell>
        </row>
        <row r="295">
          <cell r="A295" t="str">
            <v>Limit Switch Is Active.</v>
          </cell>
          <cell r="G295" t="str">
            <v>Limit</v>
          </cell>
        </row>
        <row r="296">
          <cell r="A296" t="str">
            <v>Limit switch not being reached</v>
          </cell>
          <cell r="G296" t="str">
            <v>Limit</v>
          </cell>
        </row>
        <row r="297">
          <cell r="A297" t="str">
            <v>Limit Was Defect</v>
          </cell>
          <cell r="G297" t="str">
            <v>Limit</v>
          </cell>
        </row>
        <row r="298">
          <cell r="A298" t="str">
            <v>Lockout</v>
          </cell>
          <cell r="G298" t="str">
            <v>Lockout</v>
          </cell>
        </row>
        <row r="299">
          <cell r="A299" t="str">
            <v>LSH182 Block Chute Is Active.</v>
          </cell>
          <cell r="G299" t="str">
            <v>Blockchute</v>
          </cell>
        </row>
        <row r="300">
          <cell r="A300" t="str">
            <v>Metal Dectector Faulty</v>
          </cell>
          <cell r="G300" t="str">
            <v>Metal Detector</v>
          </cell>
        </row>
        <row r="301">
          <cell r="A301" t="str">
            <v>metal detector</v>
          </cell>
          <cell r="G301" t="str">
            <v>Metal Detector</v>
          </cell>
        </row>
        <row r="302">
          <cell r="A302" t="str">
            <v>Metal Detector Active</v>
          </cell>
          <cell r="G302" t="str">
            <v>Metal Detector</v>
          </cell>
        </row>
        <row r="303">
          <cell r="A303" t="str">
            <v>Metal Detector Active.</v>
          </cell>
          <cell r="G303" t="str">
            <v>Metal Detector</v>
          </cell>
        </row>
        <row r="304">
          <cell r="A304" t="str">
            <v>Metal Detector Box Off</v>
          </cell>
          <cell r="G304" t="str">
            <v>Metal Detector</v>
          </cell>
        </row>
        <row r="305">
          <cell r="A305" t="str">
            <v>Metal Detector Is Active.</v>
          </cell>
          <cell r="G305" t="str">
            <v>Metal Detector</v>
          </cell>
        </row>
        <row r="306">
          <cell r="A306" t="str">
            <v>Metal Detector Keep On Tripping</v>
          </cell>
          <cell r="G306" t="str">
            <v>Metal Detector</v>
          </cell>
        </row>
        <row r="307">
          <cell r="A307" t="str">
            <v>Metal Detector Sensitive</v>
          </cell>
          <cell r="G307" t="str">
            <v>Metal Detector</v>
          </cell>
        </row>
        <row r="308">
          <cell r="A308" t="str">
            <v>MetalDetector Switch Does Not Reset</v>
          </cell>
          <cell r="G308" t="str">
            <v>Retain</v>
          </cell>
        </row>
        <row r="309">
          <cell r="A309" t="str">
            <v>Mismatch has been detected</v>
          </cell>
          <cell r="G309" t="str">
            <v>Fault</v>
          </cell>
        </row>
        <row r="310">
          <cell r="A310" t="str">
            <v>Mismatch Has Been Detected.</v>
          </cell>
          <cell r="G310" t="str">
            <v>Fault</v>
          </cell>
        </row>
        <row r="311">
          <cell r="A311" t="str">
            <v>Mod 34 Conveyor Shows CVO</v>
          </cell>
          <cell r="G311" t="str">
            <v>CVO</v>
          </cell>
        </row>
        <row r="312">
          <cell r="A312" t="str">
            <v>Module 25 Totaliser On Scada Is Not</v>
          </cell>
          <cell r="G312" t="str">
            <v>Fault</v>
          </cell>
        </row>
        <row r="313">
          <cell r="A313" t="str">
            <v>Module 33 Conveyor Shows Pullwire E</v>
          </cell>
          <cell r="G313" t="str">
            <v>Safety</v>
          </cell>
        </row>
        <row r="314">
          <cell r="A314" t="str">
            <v>Module 34 Conveyor Shows CVO</v>
          </cell>
          <cell r="G314" t="str">
            <v>CVO</v>
          </cell>
        </row>
        <row r="315">
          <cell r="A315" t="str">
            <v>Motor A Shows CVO And Stop Healthy.</v>
          </cell>
          <cell r="G315" t="str">
            <v>CVO</v>
          </cell>
        </row>
        <row r="316">
          <cell r="A316" t="str">
            <v>Motor Incoder Fault.</v>
          </cell>
          <cell r="G316" t="str">
            <v>Fault</v>
          </cell>
        </row>
        <row r="317">
          <cell r="A317" t="str">
            <v>Motor One Shows External Safety</v>
          </cell>
          <cell r="G317" t="str">
            <v>Safety</v>
          </cell>
        </row>
        <row r="318">
          <cell r="A318" t="str">
            <v>Motor Shows Incoder Fault.</v>
          </cell>
          <cell r="G318" t="str">
            <v>Fault</v>
          </cell>
        </row>
        <row r="319">
          <cell r="A319" t="str">
            <v>Movable Chute Shows No Limit</v>
          </cell>
          <cell r="G319" t="str">
            <v>Limit</v>
          </cell>
        </row>
        <row r="320">
          <cell r="A320" t="str">
            <v>Movable Chute Shows ZSL003 Active.</v>
          </cell>
          <cell r="G320" t="str">
            <v>Blockchute</v>
          </cell>
        </row>
        <row r="321">
          <cell r="A321" t="str">
            <v>Not Reading Limit</v>
          </cell>
          <cell r="G321" t="str">
            <v>Limit</v>
          </cell>
        </row>
        <row r="322">
          <cell r="A322" t="str">
            <v>Operation Ask Technician To Remove</v>
          </cell>
          <cell r="G322" t="str">
            <v>Lockout</v>
          </cell>
        </row>
        <row r="323">
          <cell r="A323" t="str">
            <v>Operation Report Tonnage Are Too Much</v>
          </cell>
          <cell r="G323" t="str">
            <v>Scale</v>
          </cell>
        </row>
        <row r="324">
          <cell r="A324" t="str">
            <v>Operation Requested Scale Reset On Scada</v>
          </cell>
          <cell r="G324" t="str">
            <v>Scale</v>
          </cell>
        </row>
        <row r="325">
          <cell r="A325" t="str">
            <v>Operational Interlock</v>
          </cell>
          <cell r="G325" t="str">
            <v>Interlock</v>
          </cell>
        </row>
        <row r="326">
          <cell r="A326" t="str">
            <v>Outside Area Conveyor Blockchute Active</v>
          </cell>
          <cell r="G326" t="str">
            <v>Blockchute</v>
          </cell>
        </row>
        <row r="327">
          <cell r="A327" t="str">
            <v>Overland 2 Shows Pullwire Switch F</v>
          </cell>
          <cell r="G327" t="str">
            <v>Safety</v>
          </cell>
        </row>
        <row r="328">
          <cell r="A328" t="str">
            <v>Overloaded</v>
          </cell>
          <cell r="G328" t="str">
            <v>Limit</v>
          </cell>
        </row>
        <row r="329">
          <cell r="A329" t="str">
            <v>Plant Feed Conveyor Shows CVO</v>
          </cell>
          <cell r="G329" t="str">
            <v>CVO</v>
          </cell>
        </row>
        <row r="330">
          <cell r="A330" t="str">
            <v>PLC Comms Fault.</v>
          </cell>
          <cell r="G330" t="str">
            <v>Comms</v>
          </cell>
        </row>
        <row r="331">
          <cell r="A331" t="str">
            <v>PLC Communication</v>
          </cell>
          <cell r="G331" t="str">
            <v>Comms</v>
          </cell>
        </row>
        <row r="332">
          <cell r="A332" t="str">
            <v>Powerpack Show CVO, Field Stop And</v>
          </cell>
          <cell r="G332" t="str">
            <v>CVO</v>
          </cell>
        </row>
        <row r="333">
          <cell r="A333" t="str">
            <v>Powerpack(480-0812) Shows CVO, Field</v>
          </cell>
          <cell r="G333" t="str">
            <v>CVO</v>
          </cell>
        </row>
        <row r="334">
          <cell r="A334" t="str">
            <v>Probe LSH181 Inside Chute Does Not Want</v>
          </cell>
          <cell r="G334" t="str">
            <v>Fault</v>
          </cell>
        </row>
        <row r="335">
          <cell r="A335" t="str">
            <v>Product Conveyor Shows Underspeed</v>
          </cell>
          <cell r="G335" t="str">
            <v>Underspeed</v>
          </cell>
        </row>
        <row r="336">
          <cell r="A336" t="str">
            <v>Profibus Comms Fault.</v>
          </cell>
          <cell r="G336" t="str">
            <v>Comms</v>
          </cell>
        </row>
        <row r="337">
          <cell r="A337" t="str">
            <v>Propotional Chute Limit Stays Active</v>
          </cell>
          <cell r="G337" t="str">
            <v>Limit</v>
          </cell>
        </row>
        <row r="338">
          <cell r="A338" t="str">
            <v>PULL KEY A AND B</v>
          </cell>
          <cell r="G338" t="str">
            <v>Safety</v>
          </cell>
        </row>
        <row r="339">
          <cell r="A339" t="str">
            <v>Pull Key Does Not Reset</v>
          </cell>
          <cell r="G339" t="str">
            <v>Safety</v>
          </cell>
        </row>
        <row r="340">
          <cell r="A340" t="str">
            <v>Pull Wire A Active</v>
          </cell>
          <cell r="G340" t="str">
            <v>Safety</v>
          </cell>
        </row>
        <row r="341">
          <cell r="A341" t="str">
            <v>Pull Wire D Field Stop</v>
          </cell>
          <cell r="G341" t="str">
            <v>Safety</v>
          </cell>
        </row>
        <row r="342">
          <cell r="A342" t="str">
            <v>Pull Wire Hand Switch HS013A</v>
          </cell>
          <cell r="G342" t="str">
            <v>Safety</v>
          </cell>
        </row>
        <row r="343">
          <cell r="A343" t="str">
            <v>Pullkey</v>
          </cell>
          <cell r="G343" t="str">
            <v>Safety</v>
          </cell>
        </row>
        <row r="344">
          <cell r="A344" t="str">
            <v>Pull-key 012A Active.</v>
          </cell>
          <cell r="G344" t="str">
            <v>Safety</v>
          </cell>
        </row>
        <row r="345">
          <cell r="A345" t="str">
            <v>Pullkey 11 Active</v>
          </cell>
          <cell r="G345" t="str">
            <v>Safety</v>
          </cell>
        </row>
        <row r="346">
          <cell r="A346" t="str">
            <v>Pull-key 12 Defect.</v>
          </cell>
          <cell r="G346" t="str">
            <v>Safety</v>
          </cell>
        </row>
        <row r="347">
          <cell r="A347" t="str">
            <v>Pullkey 13 Is Tight.</v>
          </cell>
          <cell r="G347" t="str">
            <v>Safety</v>
          </cell>
        </row>
        <row r="348">
          <cell r="A348" t="str">
            <v>Pullkey 4 Doesn't Reset.</v>
          </cell>
          <cell r="G348" t="str">
            <v>Safety</v>
          </cell>
        </row>
        <row r="349">
          <cell r="A349" t="str">
            <v>Pullkey/Pullwire</v>
          </cell>
          <cell r="G349" t="str">
            <v>Safety</v>
          </cell>
        </row>
        <row r="350">
          <cell r="A350" t="str">
            <v>Pullwire e</v>
          </cell>
          <cell r="G350" t="str">
            <v>Safety</v>
          </cell>
        </row>
        <row r="351">
          <cell r="A351" t="str">
            <v>Pull-wire Is Active.</v>
          </cell>
          <cell r="G351" t="str">
            <v>Safety</v>
          </cell>
        </row>
        <row r="352">
          <cell r="A352" t="str">
            <v>Pully key and bull gard not reseting</v>
          </cell>
          <cell r="G352" t="str">
            <v>Safety</v>
          </cell>
        </row>
        <row r="353">
          <cell r="A353" t="str">
            <v>Pump Trips On Stop Healthy</v>
          </cell>
          <cell r="G353" t="str">
            <v>Trip</v>
          </cell>
        </row>
        <row r="354">
          <cell r="A354" t="str">
            <v>Reached Ultimate Limit</v>
          </cell>
          <cell r="G354" t="str">
            <v>Limit</v>
          </cell>
        </row>
        <row r="355">
          <cell r="A355" t="str">
            <v>Request For Lockout.</v>
          </cell>
          <cell r="G355" t="str">
            <v>Lockout</v>
          </cell>
        </row>
        <row r="356">
          <cell r="A356" t="str">
            <v>Request To Calibrate Scale</v>
          </cell>
          <cell r="G356" t="str">
            <v>Scale</v>
          </cell>
        </row>
        <row r="357">
          <cell r="A357" t="str">
            <v>Retain Fault</v>
          </cell>
          <cell r="G357" t="str">
            <v>Retain</v>
          </cell>
        </row>
        <row r="358">
          <cell r="A358" t="str">
            <v>Retain Fault.</v>
          </cell>
          <cell r="G358" t="str">
            <v>Retain</v>
          </cell>
        </row>
        <row r="359">
          <cell r="A359" t="str">
            <v>Rope Is Short Between  Pullwire B And C</v>
          </cell>
          <cell r="G359" t="str">
            <v>Safety</v>
          </cell>
        </row>
        <row r="360">
          <cell r="A360" t="str">
            <v>Safety Interlock</v>
          </cell>
          <cell r="G360" t="str">
            <v>Interlock</v>
          </cell>
        </row>
        <row r="361">
          <cell r="A361" t="str">
            <v>Sample Cutter Not Running.</v>
          </cell>
          <cell r="G361" t="str">
            <v>Fault</v>
          </cell>
        </row>
        <row r="362">
          <cell r="A362" t="str">
            <v>sample is out of position</v>
          </cell>
          <cell r="G362" t="str">
            <v>Fault</v>
          </cell>
        </row>
        <row r="363">
          <cell r="A363" t="str">
            <v>Sampler does not reach limit</v>
          </cell>
          <cell r="G363" t="str">
            <v>Limit</v>
          </cell>
        </row>
        <row r="364">
          <cell r="A364" t="str">
            <v>Sampler fail to return</v>
          </cell>
          <cell r="G364" t="str">
            <v>Retain</v>
          </cell>
        </row>
        <row r="365">
          <cell r="A365" t="str">
            <v>Scale Does Not Correspond</v>
          </cell>
          <cell r="G365" t="str">
            <v>Scale</v>
          </cell>
        </row>
        <row r="366">
          <cell r="A366" t="str">
            <v>Scale Does Not Show The Readings</v>
          </cell>
          <cell r="G366" t="str">
            <v>Scale</v>
          </cell>
        </row>
        <row r="367">
          <cell r="A367" t="str">
            <v>Scale Doesnt Count.</v>
          </cell>
          <cell r="G367" t="str">
            <v>Scale</v>
          </cell>
        </row>
        <row r="368">
          <cell r="A368" t="str">
            <v>Scale Give Wrong Readings.</v>
          </cell>
          <cell r="G368" t="str">
            <v>Scale</v>
          </cell>
        </row>
        <row r="369">
          <cell r="A369" t="str">
            <v>Scale Is Fluactuating.</v>
          </cell>
          <cell r="G369" t="str">
            <v>Scale</v>
          </cell>
        </row>
        <row r="370">
          <cell r="A370" t="str">
            <v>Scale Is Not Corresponding</v>
          </cell>
          <cell r="G370" t="str">
            <v>Scale</v>
          </cell>
        </row>
        <row r="371">
          <cell r="A371" t="str">
            <v>Scale Is Not Reading</v>
          </cell>
          <cell r="G371" t="str">
            <v>Scale</v>
          </cell>
        </row>
        <row r="372">
          <cell r="A372" t="str">
            <v>Scale Is Off</v>
          </cell>
          <cell r="G372" t="str">
            <v>Scale</v>
          </cell>
        </row>
        <row r="373">
          <cell r="A373" t="str">
            <v>Scale Is Out</v>
          </cell>
          <cell r="G373" t="str">
            <v>Scale</v>
          </cell>
        </row>
        <row r="374">
          <cell r="A374" t="str">
            <v>Scale Is Reading Much Tanages</v>
          </cell>
          <cell r="G374" t="str">
            <v>Scale</v>
          </cell>
        </row>
        <row r="375">
          <cell r="A375" t="str">
            <v>Scale Not Counting.</v>
          </cell>
          <cell r="G375" t="str">
            <v>Scale</v>
          </cell>
        </row>
        <row r="376">
          <cell r="A376" t="str">
            <v>Scale Not Reading</v>
          </cell>
          <cell r="G376" t="str">
            <v>Scale</v>
          </cell>
        </row>
        <row r="377">
          <cell r="A377" t="str">
            <v>Scale Not Reading.</v>
          </cell>
          <cell r="G377" t="str">
            <v>Scale</v>
          </cell>
        </row>
        <row r="378">
          <cell r="A378" t="str">
            <v>Scale Reading Are Flactuating</v>
          </cell>
          <cell r="G378" t="str">
            <v>Scale</v>
          </cell>
        </row>
        <row r="379">
          <cell r="A379" t="str">
            <v>SCALE READING NEGATIVE</v>
          </cell>
          <cell r="G379" t="str">
            <v>Scale</v>
          </cell>
        </row>
        <row r="380">
          <cell r="A380" t="str">
            <v>Scale Reding Shows 0</v>
          </cell>
          <cell r="G380" t="str">
            <v>Scale</v>
          </cell>
        </row>
        <row r="381">
          <cell r="A381" t="str">
            <v>Scale Shows Innacurate Readings</v>
          </cell>
          <cell r="G381" t="str">
            <v>Scale</v>
          </cell>
        </row>
        <row r="382">
          <cell r="A382" t="str">
            <v>Scale Shows Wrong Readings.</v>
          </cell>
          <cell r="G382" t="str">
            <v>Scale</v>
          </cell>
        </row>
        <row r="383">
          <cell r="A383" t="str">
            <v>Scale WIT403 Belt Wire Brake High high</v>
          </cell>
          <cell r="G383" t="str">
            <v>Scale</v>
          </cell>
        </row>
        <row r="384">
          <cell r="A384" t="str">
            <v>Screw Conveyor Blockchute Active</v>
          </cell>
          <cell r="G384" t="str">
            <v>Blockchute</v>
          </cell>
        </row>
        <row r="385">
          <cell r="A385" t="str">
            <v>Screw Conveyor Tripped On Retain Fault</v>
          </cell>
          <cell r="G385" t="str">
            <v>Retain</v>
          </cell>
        </row>
        <row r="386">
          <cell r="A386" t="str">
            <v>Secondary Screw Feeder Analyser</v>
          </cell>
          <cell r="G386" t="str">
            <v>Fault</v>
          </cell>
        </row>
        <row r="387">
          <cell r="A387" t="str">
            <v>Shos Drive Trip.</v>
          </cell>
          <cell r="G387" t="str">
            <v>Trip</v>
          </cell>
        </row>
        <row r="388">
          <cell r="A388" t="str">
            <v>Shows A Type Mismatch Has Been Detected.</v>
          </cell>
          <cell r="G388" t="str">
            <v>Fault</v>
          </cell>
        </row>
        <row r="389">
          <cell r="A389" t="str">
            <v>Shows Alarm Present And Field Stop.</v>
          </cell>
          <cell r="G389" t="str">
            <v>Safety</v>
          </cell>
        </row>
        <row r="390">
          <cell r="A390" t="str">
            <v>Shows A-Type Mismeasure Has Been Detecte</v>
          </cell>
          <cell r="G390" t="str">
            <v>Fault</v>
          </cell>
        </row>
        <row r="391">
          <cell r="A391" t="str">
            <v>shows belt tear</v>
          </cell>
          <cell r="G391" t="str">
            <v>Tear</v>
          </cell>
        </row>
        <row r="392">
          <cell r="A392" t="str">
            <v>Shows Belt Tear 1.</v>
          </cell>
          <cell r="G392" t="str">
            <v>Tear</v>
          </cell>
        </row>
        <row r="393">
          <cell r="A393" t="str">
            <v>Shows Belt Tear.</v>
          </cell>
          <cell r="G393" t="str">
            <v>Tear</v>
          </cell>
        </row>
        <row r="394">
          <cell r="A394" t="str">
            <v>Shows Belt Tear2.</v>
          </cell>
          <cell r="G394" t="str">
            <v>Tear</v>
          </cell>
        </row>
        <row r="395">
          <cell r="A395" t="str">
            <v>Shows Belt Tier At Tail.</v>
          </cell>
          <cell r="G395" t="str">
            <v>Tear</v>
          </cell>
        </row>
        <row r="396">
          <cell r="A396" t="str">
            <v>Shows Belt Tier.</v>
          </cell>
          <cell r="G396" t="str">
            <v>Tear</v>
          </cell>
        </row>
        <row r="397">
          <cell r="A397" t="str">
            <v>shows block chute</v>
          </cell>
          <cell r="G397" t="str">
            <v>Blockchute</v>
          </cell>
        </row>
        <row r="398">
          <cell r="A398" t="str">
            <v>Shows Block Chute But Clean Outside</v>
          </cell>
          <cell r="G398" t="str">
            <v>Blockchute</v>
          </cell>
        </row>
        <row r="399">
          <cell r="A399" t="str">
            <v>Shows Blockchute And Stacker Tripper.</v>
          </cell>
          <cell r="G399" t="str">
            <v>Blockchute</v>
          </cell>
        </row>
        <row r="400">
          <cell r="A400" t="str">
            <v>Shows Blockchute LSH001.</v>
          </cell>
          <cell r="G400" t="str">
            <v>Blockchute</v>
          </cell>
        </row>
        <row r="401">
          <cell r="A401" t="str">
            <v>Shows Blue Wire Comms Fault.</v>
          </cell>
          <cell r="G401" t="str">
            <v>Comms</v>
          </cell>
        </row>
        <row r="402">
          <cell r="A402" t="str">
            <v>shows blue wire faullt and comms</v>
          </cell>
          <cell r="G402" t="str">
            <v>Comms</v>
          </cell>
        </row>
        <row r="403">
          <cell r="A403" t="str">
            <v>shows comms failure</v>
          </cell>
          <cell r="G403" t="str">
            <v>Comms</v>
          </cell>
        </row>
        <row r="404">
          <cell r="A404" t="str">
            <v>Shows Comms Fault,Field Stop,CVO.</v>
          </cell>
          <cell r="G404" t="str">
            <v>Comms</v>
          </cell>
        </row>
        <row r="405">
          <cell r="A405" t="str">
            <v>Shows Comms,CVO,Field Stop,Stop Healthy.</v>
          </cell>
          <cell r="G405" t="str">
            <v>Comms</v>
          </cell>
        </row>
        <row r="406">
          <cell r="A406" t="str">
            <v>Shows CT System Comms failure.</v>
          </cell>
          <cell r="G406" t="str">
            <v>Comms</v>
          </cell>
        </row>
        <row r="407">
          <cell r="A407" t="str">
            <v>Shows CVO.</v>
          </cell>
          <cell r="G407" t="str">
            <v>CVO</v>
          </cell>
        </row>
        <row r="408">
          <cell r="A408" t="str">
            <v>Shows Drive Trip</v>
          </cell>
          <cell r="G408" t="str">
            <v>Trip</v>
          </cell>
        </row>
        <row r="409">
          <cell r="A409" t="str">
            <v>Shows Drive Trip.</v>
          </cell>
          <cell r="G409" t="str">
            <v>Trip</v>
          </cell>
        </row>
        <row r="410">
          <cell r="A410" t="str">
            <v>Shows External safety shutdown</v>
          </cell>
          <cell r="G410" t="str">
            <v>Safety</v>
          </cell>
        </row>
        <row r="411">
          <cell r="A411" t="str">
            <v>Shows External Safety Shutdown And Alarm</v>
          </cell>
          <cell r="G411" t="str">
            <v>Safety</v>
          </cell>
        </row>
        <row r="412">
          <cell r="A412" t="str">
            <v>Shows External Safety Shutdown And Fault</v>
          </cell>
          <cell r="G412" t="str">
            <v>Safety</v>
          </cell>
        </row>
        <row r="413">
          <cell r="A413" t="str">
            <v>Shows External Safety Shutdown,Fault Pre</v>
          </cell>
          <cell r="G413" t="str">
            <v>Safety</v>
          </cell>
        </row>
        <row r="414">
          <cell r="A414" t="str">
            <v>Shows External Safety Shutdown.</v>
          </cell>
          <cell r="G414" t="str">
            <v>Safety</v>
          </cell>
        </row>
        <row r="415">
          <cell r="A415" t="str">
            <v>Shows Fault Drive Power Electronics.</v>
          </cell>
          <cell r="G415" t="str">
            <v>Fault</v>
          </cell>
        </row>
        <row r="416">
          <cell r="A416" t="str">
            <v>Shows Fault Present</v>
          </cell>
          <cell r="G416" t="str">
            <v>Fault</v>
          </cell>
        </row>
        <row r="417">
          <cell r="A417" t="str">
            <v>Shows Fault Present.</v>
          </cell>
          <cell r="G417" t="str">
            <v>Fault</v>
          </cell>
        </row>
        <row r="418">
          <cell r="A418" t="str">
            <v>Shows Fault RH02-CV01</v>
          </cell>
          <cell r="G418" t="str">
            <v>Fault</v>
          </cell>
        </row>
        <row r="419">
          <cell r="A419" t="str">
            <v>Shows Field Bus Error</v>
          </cell>
          <cell r="G419" t="str">
            <v>Fault</v>
          </cell>
        </row>
        <row r="420">
          <cell r="A420" t="str">
            <v>Shows Field Stop</v>
          </cell>
          <cell r="G420" t="str">
            <v>Safety</v>
          </cell>
        </row>
        <row r="421">
          <cell r="A421" t="str">
            <v>Shows Field Stop And Underspeed.</v>
          </cell>
          <cell r="G421" t="str">
            <v>Safety</v>
          </cell>
        </row>
        <row r="422">
          <cell r="A422" t="str">
            <v>Shows Field Stop But No Stop Outside</v>
          </cell>
          <cell r="G422" t="str">
            <v>Safety</v>
          </cell>
        </row>
        <row r="423">
          <cell r="A423" t="str">
            <v>Shows Field Stop Comms And CVO.</v>
          </cell>
          <cell r="G423" t="str">
            <v>Safety</v>
          </cell>
        </row>
        <row r="424">
          <cell r="A424" t="str">
            <v>Shows Field Stop.</v>
          </cell>
          <cell r="G424" t="str">
            <v>Safety</v>
          </cell>
        </row>
        <row r="425">
          <cell r="A425" t="str">
            <v>Shows Hecu Blue Wire Comms Fault.</v>
          </cell>
          <cell r="G425" t="str">
            <v>Comms</v>
          </cell>
        </row>
        <row r="426">
          <cell r="A426" t="str">
            <v>Shows Hecu Blue Wire Fault Pullkey 003B.</v>
          </cell>
          <cell r="G426" t="str">
            <v>Safety</v>
          </cell>
        </row>
        <row r="427">
          <cell r="A427" t="str">
            <v>Shows Input Power Electronics.</v>
          </cell>
          <cell r="G427" t="str">
            <v>Fault</v>
          </cell>
        </row>
        <row r="428">
          <cell r="A428" t="str">
            <v>Shows Metal Detector Doesn't Want To Res</v>
          </cell>
          <cell r="G428" t="str">
            <v>Metal Detector</v>
          </cell>
        </row>
        <row r="429">
          <cell r="A429" t="str">
            <v>Shows Overload Fault.</v>
          </cell>
          <cell r="G429" t="str">
            <v>Limit</v>
          </cell>
        </row>
        <row r="430">
          <cell r="A430" t="str">
            <v>shows PLC Comms Fault.</v>
          </cell>
          <cell r="G430" t="str">
            <v>Comms</v>
          </cell>
        </row>
        <row r="431">
          <cell r="A431" t="str">
            <v>Shows Profy Bar Comms Error.</v>
          </cell>
          <cell r="G431" t="str">
            <v>Comms</v>
          </cell>
        </row>
        <row r="432">
          <cell r="A432" t="str">
            <v>Shows Pullkey 12A+B And 14A+B.</v>
          </cell>
          <cell r="G432" t="str">
            <v>Safety</v>
          </cell>
        </row>
        <row r="433">
          <cell r="A433" t="str">
            <v>Shows Retain Fault.</v>
          </cell>
          <cell r="G433" t="str">
            <v>Retain</v>
          </cell>
        </row>
        <row r="434">
          <cell r="A434" t="str">
            <v>Shows Save Line Fault.</v>
          </cell>
          <cell r="G434" t="str">
            <v>Fault</v>
          </cell>
        </row>
        <row r="435">
          <cell r="A435" t="str">
            <v>Shows Signal Lost And No Movement.</v>
          </cell>
          <cell r="G435" t="str">
            <v>Fault</v>
          </cell>
        </row>
        <row r="436">
          <cell r="A436" t="str">
            <v>Shows Stop Healthy And Drive Trip.</v>
          </cell>
          <cell r="G436" t="str">
            <v>Safety</v>
          </cell>
        </row>
        <row r="437">
          <cell r="A437" t="str">
            <v>Shows Stop Healthy.</v>
          </cell>
          <cell r="G437" t="str">
            <v>Safety</v>
          </cell>
        </row>
        <row r="438">
          <cell r="A438" t="str">
            <v>SHOWS STOP OUTSIDE</v>
          </cell>
          <cell r="G438" t="str">
            <v>Safety</v>
          </cell>
        </row>
        <row r="439">
          <cell r="A439" t="str">
            <v>shows underspeed</v>
          </cell>
          <cell r="G439" t="str">
            <v>Underspeed</v>
          </cell>
        </row>
        <row r="440">
          <cell r="A440" t="str">
            <v>Shows Underspeed,Other Fault &amp;Fault Pres</v>
          </cell>
          <cell r="G440" t="str">
            <v>Fault</v>
          </cell>
        </row>
        <row r="441">
          <cell r="A441" t="str">
            <v>Shows Underspeed.</v>
          </cell>
          <cell r="G441" t="str">
            <v>Underspeed</v>
          </cell>
        </row>
        <row r="442">
          <cell r="A442" t="str">
            <v>Shuttlecar Position Transmitor Cannot Be</v>
          </cell>
          <cell r="G442" t="str">
            <v>Fault</v>
          </cell>
        </row>
        <row r="443">
          <cell r="A443" t="str">
            <v>Shuttlecar Shows Field Stop.</v>
          </cell>
          <cell r="G443" t="str">
            <v>Safety</v>
          </cell>
        </row>
        <row r="444">
          <cell r="A444" t="str">
            <v>Silo High High Level Active</v>
          </cell>
          <cell r="G444" t="str">
            <v>Limit</v>
          </cell>
        </row>
        <row r="445">
          <cell r="A445" t="str">
            <v>Start up Alarm not stopping</v>
          </cell>
          <cell r="G445" t="str">
            <v>Alarm</v>
          </cell>
        </row>
        <row r="446">
          <cell r="A446" t="str">
            <v>Stop Healthy</v>
          </cell>
          <cell r="G446" t="str">
            <v>Safety</v>
          </cell>
        </row>
        <row r="447">
          <cell r="A447" t="str">
            <v>Stop Healthy &amp; CVO.</v>
          </cell>
          <cell r="G447" t="str">
            <v>Safety</v>
          </cell>
        </row>
        <row r="448">
          <cell r="A448" t="str">
            <v>Stop Healthy.</v>
          </cell>
          <cell r="G448" t="str">
            <v>Safety</v>
          </cell>
        </row>
        <row r="449">
          <cell r="A449" t="str">
            <v>Stream 2 Conveyor Shows CVO And Comms</v>
          </cell>
          <cell r="G449" t="str">
            <v>Comms</v>
          </cell>
        </row>
        <row r="450">
          <cell r="A450" t="str">
            <v>Stream 2 Conveyor Shows CVO, Field Stop</v>
          </cell>
          <cell r="G450" t="str">
            <v>Safety</v>
          </cell>
        </row>
        <row r="451">
          <cell r="A451" t="str">
            <v>Substation Emergency Alarm Active</v>
          </cell>
          <cell r="G451" t="str">
            <v>Alarm</v>
          </cell>
        </row>
        <row r="452">
          <cell r="A452" t="str">
            <v>Take up shows high limit</v>
          </cell>
          <cell r="G452" t="str">
            <v>Limit</v>
          </cell>
        </row>
        <row r="453">
          <cell r="A453" t="str">
            <v>Take Up ZXH004 High Switch Is Loose</v>
          </cell>
          <cell r="G453" t="str">
            <v>Fault</v>
          </cell>
        </row>
        <row r="454">
          <cell r="A454" t="str">
            <v>Tipping Bin Shows Field Stop</v>
          </cell>
          <cell r="G454" t="str">
            <v>Safety</v>
          </cell>
        </row>
        <row r="455">
          <cell r="A455" t="str">
            <v>Tonnages are higher than setpoint.</v>
          </cell>
          <cell r="G455" t="str">
            <v>Scale</v>
          </cell>
        </row>
        <row r="456">
          <cell r="A456" t="str">
            <v>Tons  Exceed Set Point</v>
          </cell>
          <cell r="G456" t="str">
            <v>Scale</v>
          </cell>
        </row>
        <row r="457">
          <cell r="A457" t="str">
            <v>Top Chute When You Run Forward Trips 120</v>
          </cell>
          <cell r="G457" t="str">
            <v>Trip</v>
          </cell>
        </row>
        <row r="458">
          <cell r="A458" t="str">
            <v>Trip Belt tear nr 1</v>
          </cell>
          <cell r="G458" t="str">
            <v>Tear</v>
          </cell>
        </row>
        <row r="459">
          <cell r="A459" t="str">
            <v>Trip Showing no Movement</v>
          </cell>
          <cell r="G459" t="str">
            <v>Trip</v>
          </cell>
        </row>
        <row r="460">
          <cell r="A460" t="str">
            <v>Tripped On Belt Alignment At Tail</v>
          </cell>
          <cell r="G460" t="str">
            <v>Fault</v>
          </cell>
        </row>
        <row r="461">
          <cell r="A461" t="str">
            <v>Tripped on CVO</v>
          </cell>
          <cell r="G461" t="str">
            <v>CVO</v>
          </cell>
        </row>
        <row r="462">
          <cell r="A462" t="str">
            <v>Tripped With Belt Tier</v>
          </cell>
          <cell r="G462" t="str">
            <v>Tear</v>
          </cell>
        </row>
        <row r="463">
          <cell r="A463" t="str">
            <v>Tripped With Blockchute</v>
          </cell>
          <cell r="G463" t="str">
            <v>Blockchute</v>
          </cell>
        </row>
        <row r="464">
          <cell r="A464" t="str">
            <v>Tripped With Control Voltage</v>
          </cell>
          <cell r="G464" t="str">
            <v>CVO</v>
          </cell>
        </row>
        <row r="465">
          <cell r="A465" t="str">
            <v>Tripped With Control Voltage Off</v>
          </cell>
          <cell r="G465" t="str">
            <v>CVO</v>
          </cell>
        </row>
        <row r="466">
          <cell r="A466" t="str">
            <v>Tripped With Control Voltage On</v>
          </cell>
          <cell r="G466" t="str">
            <v>CVO</v>
          </cell>
        </row>
        <row r="467">
          <cell r="A467" t="str">
            <v>Tripped With Control Voltave Off</v>
          </cell>
          <cell r="G467" t="str">
            <v>CVO</v>
          </cell>
        </row>
        <row r="468">
          <cell r="A468" t="str">
            <v>Tripped With Drive Over Current</v>
          </cell>
          <cell r="G468" t="str">
            <v>Limit</v>
          </cell>
        </row>
        <row r="469">
          <cell r="A469" t="str">
            <v>Tripped With External Safe Shutdown</v>
          </cell>
          <cell r="G469" t="str">
            <v>Safety</v>
          </cell>
        </row>
        <row r="470">
          <cell r="A470" t="str">
            <v>Tripped With External Safety Shutdown</v>
          </cell>
          <cell r="G470" t="str">
            <v>Safety</v>
          </cell>
        </row>
        <row r="471">
          <cell r="A471" t="str">
            <v>Tripped With Fault Present</v>
          </cell>
          <cell r="G471" t="str">
            <v>Fault</v>
          </cell>
        </row>
        <row r="472">
          <cell r="A472" t="str">
            <v>Tripped With Field Stop</v>
          </cell>
          <cell r="G472" t="str">
            <v>Safety</v>
          </cell>
        </row>
        <row r="473">
          <cell r="A473" t="str">
            <v>Tripped With Incomer</v>
          </cell>
          <cell r="G473" t="str">
            <v>Trip</v>
          </cell>
        </row>
        <row r="474">
          <cell r="A474" t="str">
            <v>Tripped With Retain Fault</v>
          </cell>
          <cell r="G474" t="str">
            <v>Retain</v>
          </cell>
        </row>
        <row r="475">
          <cell r="A475" t="str">
            <v>Tripped With Stop Healthy</v>
          </cell>
          <cell r="G475" t="str">
            <v>Safety</v>
          </cell>
        </row>
        <row r="476">
          <cell r="A476" t="str">
            <v>Tripped With Underspeed</v>
          </cell>
          <cell r="G476" t="str">
            <v>Underspeed</v>
          </cell>
        </row>
        <row r="477">
          <cell r="A477" t="str">
            <v>Trippercar Reverse Limit Fault.</v>
          </cell>
          <cell r="G477" t="str">
            <v>Limit</v>
          </cell>
        </row>
        <row r="478">
          <cell r="A478" t="str">
            <v>Trippercar Shows Drive MCC Trip.</v>
          </cell>
          <cell r="G478" t="str">
            <v>Trip</v>
          </cell>
        </row>
        <row r="479">
          <cell r="A479" t="str">
            <v>Trips On Belt Tear</v>
          </cell>
          <cell r="G479" t="str">
            <v>Tear</v>
          </cell>
        </row>
        <row r="480">
          <cell r="A480" t="str">
            <v>Trips On CVO</v>
          </cell>
          <cell r="G480" t="str">
            <v>CVO</v>
          </cell>
        </row>
        <row r="481">
          <cell r="A481" t="str">
            <v>Trips with external safety shutdown</v>
          </cell>
          <cell r="G481" t="str">
            <v>Safety</v>
          </cell>
        </row>
        <row r="482">
          <cell r="A482" t="str">
            <v>Trips With Underspeed</v>
          </cell>
          <cell r="G482" t="str">
            <v>Underspeed</v>
          </cell>
        </row>
        <row r="483">
          <cell r="A483" t="str">
            <v>Type Mismerge Has Been Detected.</v>
          </cell>
          <cell r="G483" t="str">
            <v>Fault</v>
          </cell>
        </row>
        <row r="484">
          <cell r="A484" t="str">
            <v>Uderspeed Switch Loose.</v>
          </cell>
          <cell r="G484" t="str">
            <v>Underspeed</v>
          </cell>
        </row>
        <row r="485">
          <cell r="A485" t="str">
            <v>Under voltage</v>
          </cell>
          <cell r="G485" t="str">
            <v>Limit</v>
          </cell>
        </row>
        <row r="486">
          <cell r="A486" t="str">
            <v>UNDERSPEED</v>
          </cell>
          <cell r="G486" t="str">
            <v>Underspeed</v>
          </cell>
        </row>
        <row r="487">
          <cell r="A487" t="str">
            <v>Underspeed Light Not On</v>
          </cell>
          <cell r="G487" t="str">
            <v>Underspeed</v>
          </cell>
        </row>
        <row r="488">
          <cell r="A488" t="str">
            <v>Underspeed Trip</v>
          </cell>
          <cell r="G488" t="str">
            <v>Underspeed</v>
          </cell>
        </row>
        <row r="489">
          <cell r="A489" t="str">
            <v>Underspeed Trip.</v>
          </cell>
          <cell r="G489" t="str">
            <v>Underspeed</v>
          </cell>
        </row>
        <row r="490">
          <cell r="A490" t="str">
            <v>Underspeed Tripped.</v>
          </cell>
          <cell r="G490" t="str">
            <v>Underspeed</v>
          </cell>
        </row>
        <row r="491">
          <cell r="A491" t="str">
            <v>Underspeed.</v>
          </cell>
          <cell r="G491" t="str">
            <v>Underspeed</v>
          </cell>
        </row>
        <row r="492">
          <cell r="A492" t="str">
            <v>Waste Conveyor Constant Underspeed Trip</v>
          </cell>
          <cell r="G492" t="str">
            <v>Underspeed</v>
          </cell>
        </row>
        <row r="493">
          <cell r="A493" t="str">
            <v>Winch Shows Drive Tripped</v>
          </cell>
          <cell r="G493" t="str">
            <v>Trip</v>
          </cell>
        </row>
        <row r="494">
          <cell r="A494" t="str">
            <v>winch stuck</v>
          </cell>
          <cell r="G494" t="str">
            <v>Fault</v>
          </cell>
        </row>
        <row r="495">
          <cell r="A495" t="str">
            <v>Wire Belt Is Torn</v>
          </cell>
          <cell r="G495" t="str">
            <v>Fault</v>
          </cell>
        </row>
        <row r="496">
          <cell r="A496" t="str">
            <v>Yellow Wire Fault At Pullkey 004A.</v>
          </cell>
          <cell r="G496" t="str">
            <v>Safety</v>
          </cell>
        </row>
        <row r="497">
          <cell r="A497" t="str">
            <v>ZSH06 Chute Not Shows The Limit</v>
          </cell>
          <cell r="G497" t="str">
            <v>Limit</v>
          </cell>
        </row>
        <row r="498">
          <cell r="A498" t="str">
            <v>Tracking Fault</v>
          </cell>
        </row>
        <row r="499">
          <cell r="A499" t="str">
            <v>Alignment At Tail.</v>
          </cell>
          <cell r="G499" t="str">
            <v>Alignment - Tail</v>
          </cell>
        </row>
        <row r="500">
          <cell r="A500" t="str">
            <v>Alignment Middle.</v>
          </cell>
          <cell r="G500" t="str">
            <v>Alignment - Middle</v>
          </cell>
        </row>
        <row r="501">
          <cell r="A501" t="str">
            <v>Area 04 Belt Is Running Skew At The Tail</v>
          </cell>
          <cell r="G501" t="str">
            <v>Skew - Tail</v>
          </cell>
        </row>
        <row r="502">
          <cell r="A502" t="str">
            <v>Area01 Conveyor Is Running Skew In The</v>
          </cell>
          <cell r="G502" t="str">
            <v>Skew</v>
          </cell>
        </row>
        <row r="503">
          <cell r="A503" t="str">
            <v>Area01 Stream 2 Belt Skew Middle</v>
          </cell>
          <cell r="G503" t="str">
            <v>Skew - Middle</v>
          </cell>
        </row>
        <row r="504">
          <cell r="A504" t="str">
            <v>Area01 Stream 2 Conveyor Is Running Skew</v>
          </cell>
          <cell r="G504" t="str">
            <v>Skew</v>
          </cell>
        </row>
        <row r="505">
          <cell r="A505" t="str">
            <v>Area02 Conveyor Is Running Skew At The</v>
          </cell>
          <cell r="G505" t="str">
            <v>Skew</v>
          </cell>
        </row>
        <row r="506">
          <cell r="A506" t="str">
            <v>Area04 Product Belt Is Running Skew In</v>
          </cell>
          <cell r="G506" t="str">
            <v>Skew</v>
          </cell>
        </row>
        <row r="507">
          <cell r="A507" t="str">
            <v>Belt Alaingment Front Right Running Skew</v>
          </cell>
          <cell r="G507" t="str">
            <v>Skew - Head</v>
          </cell>
        </row>
        <row r="508">
          <cell r="A508" t="str">
            <v>Belt Alignement Switch Is Broken.</v>
          </cell>
          <cell r="G508" t="str">
            <v>Alignment</v>
          </cell>
        </row>
        <row r="509">
          <cell r="A509" t="str">
            <v>Belt Alignment</v>
          </cell>
          <cell r="G509" t="str">
            <v>Alignment</v>
          </cell>
        </row>
        <row r="510">
          <cell r="A510" t="str">
            <v>Belt Alignment 900 And Stacker Tripper.</v>
          </cell>
          <cell r="G510" t="str">
            <v>Alignment</v>
          </cell>
        </row>
        <row r="511">
          <cell r="A511" t="str">
            <v>Belt Alignment Active And Conveyor</v>
          </cell>
          <cell r="G511" t="str">
            <v>Alignment</v>
          </cell>
        </row>
        <row r="512">
          <cell r="A512" t="str">
            <v>Belt Alignment At The Back But Is Not</v>
          </cell>
          <cell r="G512" t="str">
            <v>Alignment - Tail</v>
          </cell>
        </row>
        <row r="513">
          <cell r="A513" t="str">
            <v>Belt Alignment At The Head</v>
          </cell>
          <cell r="G513" t="str">
            <v>Alignment - Head</v>
          </cell>
        </row>
        <row r="514">
          <cell r="A514" t="str">
            <v>Belt Alignment At The Tail</v>
          </cell>
          <cell r="G514" t="str">
            <v>Alignment - Tail</v>
          </cell>
        </row>
        <row r="515">
          <cell r="A515" t="str">
            <v>Belt Alignment Back Left</v>
          </cell>
          <cell r="G515" t="str">
            <v>Alignment - Tail</v>
          </cell>
        </row>
        <row r="516">
          <cell r="A516" t="str">
            <v>Belt Alignment Back Left.</v>
          </cell>
          <cell r="G516" t="str">
            <v>Alignment - Tail</v>
          </cell>
        </row>
        <row r="517">
          <cell r="A517" t="str">
            <v>Belt Alignment Defect</v>
          </cell>
          <cell r="G517" t="str">
            <v>Alignment</v>
          </cell>
        </row>
        <row r="518">
          <cell r="A518" t="str">
            <v>Belt Alignment Front Left.</v>
          </cell>
          <cell r="G518" t="str">
            <v>Alignment - Head</v>
          </cell>
        </row>
        <row r="519">
          <cell r="A519" t="str">
            <v>Belt Alignment Front Right</v>
          </cell>
          <cell r="G519" t="str">
            <v>Alignment - Head</v>
          </cell>
        </row>
        <row r="520">
          <cell r="A520" t="str">
            <v>Belt Alignment Front, Right , Middle And</v>
          </cell>
          <cell r="G520" t="str">
            <v>Alignment</v>
          </cell>
        </row>
        <row r="521">
          <cell r="A521" t="str">
            <v>Belt Alignment Head</v>
          </cell>
          <cell r="G521" t="str">
            <v>Alignment - Head</v>
          </cell>
        </row>
        <row r="522">
          <cell r="A522" t="str">
            <v>Belt Alignment Middle</v>
          </cell>
          <cell r="G522" t="str">
            <v>Alignment - Middle</v>
          </cell>
        </row>
        <row r="523">
          <cell r="A523" t="str">
            <v>Belt Alignment Middle.</v>
          </cell>
          <cell r="G523" t="str">
            <v>Alignment - Middle</v>
          </cell>
        </row>
        <row r="524">
          <cell r="A524" t="str">
            <v>Belt Alignment Tail</v>
          </cell>
          <cell r="G524" t="str">
            <v>Alignment - Tail</v>
          </cell>
        </row>
        <row r="525">
          <cell r="A525" t="str">
            <v>Belt Alignment Tail, But Conveyor Is</v>
          </cell>
          <cell r="G525" t="str">
            <v>Alignment - Tail</v>
          </cell>
        </row>
        <row r="526">
          <cell r="A526" t="str">
            <v>Belt Alignment Tail.</v>
          </cell>
          <cell r="G526" t="str">
            <v>Alignment - Tail</v>
          </cell>
        </row>
        <row r="527">
          <cell r="A527" t="str">
            <v>Belt Alignment.</v>
          </cell>
          <cell r="G527" t="str">
            <v>Alignment</v>
          </cell>
        </row>
        <row r="528">
          <cell r="A528" t="str">
            <v>Belt Is Running Skew</v>
          </cell>
          <cell r="G528" t="str">
            <v>Skew</v>
          </cell>
        </row>
        <row r="529">
          <cell r="A529" t="str">
            <v>Belt Is Running Skew At The Tail</v>
          </cell>
          <cell r="G529" t="str">
            <v>Skew - Tail</v>
          </cell>
        </row>
        <row r="530">
          <cell r="A530" t="str">
            <v>Belt Misalignment</v>
          </cell>
          <cell r="G530" t="str">
            <v>Alignment</v>
          </cell>
        </row>
        <row r="531">
          <cell r="A531" t="str">
            <v>Belt Misalignment 015</v>
          </cell>
          <cell r="G531" t="str">
            <v>Alignment</v>
          </cell>
        </row>
        <row r="532">
          <cell r="A532" t="str">
            <v>Belt Misalignment Active.</v>
          </cell>
          <cell r="G532" t="str">
            <v>Alignment</v>
          </cell>
        </row>
        <row r="533">
          <cell r="A533" t="str">
            <v>Belt Misalignment At The Middle</v>
          </cell>
          <cell r="G533" t="str">
            <v>Alignment - Middle</v>
          </cell>
        </row>
        <row r="534">
          <cell r="A534" t="str">
            <v>Belt Misalignment Back Left.</v>
          </cell>
          <cell r="G534" t="str">
            <v>Alignment - Tail</v>
          </cell>
        </row>
        <row r="535">
          <cell r="A535" t="str">
            <v>Belt Misalignment Middle</v>
          </cell>
          <cell r="G535" t="str">
            <v>Alignment - Middle</v>
          </cell>
        </row>
        <row r="536">
          <cell r="A536" t="str">
            <v>Belt Misalignment On SH02-CV03-XS014</v>
          </cell>
          <cell r="G536" t="str">
            <v>Alignment</v>
          </cell>
        </row>
        <row r="537">
          <cell r="A537" t="str">
            <v>Belt Misalignment XS002</v>
          </cell>
          <cell r="G537" t="str">
            <v>Alignment</v>
          </cell>
        </row>
        <row r="538">
          <cell r="A538" t="str">
            <v>Belt Misalignment XS004 Tail</v>
          </cell>
          <cell r="G538" t="str">
            <v>Alignment - Tail</v>
          </cell>
        </row>
        <row r="539">
          <cell r="A539" t="str">
            <v>Belt Misalignment XS018 Not Reseting.</v>
          </cell>
          <cell r="G539" t="str">
            <v>Alignment</v>
          </cell>
        </row>
        <row r="540">
          <cell r="A540" t="str">
            <v>Belt Misalignment XS019 Active</v>
          </cell>
          <cell r="G540" t="str">
            <v>Alignment</v>
          </cell>
        </row>
        <row r="541">
          <cell r="A541" t="str">
            <v>Belt missalignement at the tail</v>
          </cell>
          <cell r="G541" t="str">
            <v>Alignment - Tail</v>
          </cell>
        </row>
        <row r="542">
          <cell r="A542" t="str">
            <v>Belt Run Skew In The Middle</v>
          </cell>
          <cell r="G542" t="str">
            <v>Skew - Middle</v>
          </cell>
        </row>
        <row r="543">
          <cell r="A543" t="str">
            <v>belt running skew</v>
          </cell>
          <cell r="G543" t="str">
            <v>Skew</v>
          </cell>
        </row>
        <row r="544">
          <cell r="A544" t="str">
            <v>Belt Running Skew At The Tail</v>
          </cell>
          <cell r="G544" t="str">
            <v>Skew - Tail</v>
          </cell>
        </row>
        <row r="545">
          <cell r="A545" t="str">
            <v>Belt Running Skew In Middle</v>
          </cell>
          <cell r="G545" t="str">
            <v>Skew - Middle</v>
          </cell>
        </row>
        <row r="546">
          <cell r="A546" t="str">
            <v>Belt Running Skew In The Middle</v>
          </cell>
          <cell r="G546" t="str">
            <v>Skew - Middle</v>
          </cell>
        </row>
        <row r="547">
          <cell r="A547" t="str">
            <v>Belt Skew And Is Running Against The</v>
          </cell>
          <cell r="G547" t="str">
            <v>Skew</v>
          </cell>
        </row>
        <row r="548">
          <cell r="A548" t="str">
            <v>Belt Skew At Take Up</v>
          </cell>
          <cell r="G548" t="str">
            <v>Skew</v>
          </cell>
        </row>
        <row r="549">
          <cell r="A549" t="str">
            <v>Belt Skew At The Head</v>
          </cell>
          <cell r="G549" t="str">
            <v>Skew - Head</v>
          </cell>
        </row>
        <row r="550">
          <cell r="A550" t="str">
            <v>Belt Skew At the Tail</v>
          </cell>
          <cell r="G550" t="str">
            <v>Skew - Tail</v>
          </cell>
        </row>
        <row r="551">
          <cell r="A551" t="str">
            <v>Belt Skew Front Middle</v>
          </cell>
          <cell r="G551" t="str">
            <v>Skew - Middle</v>
          </cell>
        </row>
        <row r="552">
          <cell r="A552" t="str">
            <v>Belt Skew Head</v>
          </cell>
          <cell r="G552" t="str">
            <v>Skew - Head</v>
          </cell>
        </row>
        <row r="553">
          <cell r="A553" t="str">
            <v>Belt Skew Left/Right.</v>
          </cell>
          <cell r="G553" t="str">
            <v>Skew</v>
          </cell>
        </row>
        <row r="554">
          <cell r="A554" t="str">
            <v>Belt Skew Middle</v>
          </cell>
          <cell r="G554" t="str">
            <v>Skew - Middle</v>
          </cell>
        </row>
        <row r="555">
          <cell r="A555" t="str">
            <v>Belt Skew Tail</v>
          </cell>
          <cell r="G555" t="str">
            <v>Skew - Tail</v>
          </cell>
        </row>
        <row r="556">
          <cell r="A556" t="str">
            <v>Carrier Belt Is Running Skew.</v>
          </cell>
          <cell r="G556" t="str">
            <v>Skew</v>
          </cell>
        </row>
        <row r="557">
          <cell r="A557" t="str">
            <v>comes out with belt alignment tail</v>
          </cell>
          <cell r="G557" t="str">
            <v>Alignment - Tail</v>
          </cell>
        </row>
        <row r="558">
          <cell r="A558" t="str">
            <v>Comveyor Is Running Skew</v>
          </cell>
          <cell r="G558" t="str">
            <v>Skew</v>
          </cell>
        </row>
        <row r="559">
          <cell r="A559" t="str">
            <v>Conveyor Belt Is Running Skew</v>
          </cell>
          <cell r="G559" t="str">
            <v>Skew</v>
          </cell>
        </row>
        <row r="560">
          <cell r="A560" t="str">
            <v>Conveyor Belt Running Skew</v>
          </cell>
          <cell r="G560" t="str">
            <v>Skew</v>
          </cell>
        </row>
        <row r="561">
          <cell r="A561" t="str">
            <v>Conveyor Is Running Middle.</v>
          </cell>
          <cell r="G561" t="str">
            <v>Skew - Middle</v>
          </cell>
        </row>
        <row r="562">
          <cell r="A562" t="str">
            <v>Conveyor Is Running Skew</v>
          </cell>
          <cell r="G562" t="str">
            <v>Skew</v>
          </cell>
        </row>
        <row r="563">
          <cell r="A563" t="str">
            <v>Conveyor Is Running Skew At Head</v>
          </cell>
          <cell r="G563" t="str">
            <v>Skew - Head</v>
          </cell>
        </row>
        <row r="564">
          <cell r="A564" t="str">
            <v>Conveyor Is Running Skew At Head.</v>
          </cell>
          <cell r="G564" t="str">
            <v>Skew - Head</v>
          </cell>
        </row>
        <row r="565">
          <cell r="A565" t="str">
            <v>Conveyor Is Running Skew At Middle.</v>
          </cell>
          <cell r="G565" t="str">
            <v>Skew - Middle</v>
          </cell>
        </row>
        <row r="566">
          <cell r="A566" t="str">
            <v>Conveyor Is Running Skew At Tail</v>
          </cell>
          <cell r="G566" t="str">
            <v>Skew - Tail</v>
          </cell>
        </row>
        <row r="567">
          <cell r="A567" t="str">
            <v>Conveyor Is Running Skew At Tail.</v>
          </cell>
          <cell r="G567" t="str">
            <v>Skew - Tail</v>
          </cell>
        </row>
        <row r="568">
          <cell r="A568" t="str">
            <v>Conveyor Is Running Skew At The Head</v>
          </cell>
          <cell r="G568" t="str">
            <v>Skew - Head</v>
          </cell>
        </row>
        <row r="569">
          <cell r="A569" t="str">
            <v>Conveyor Is Running Skew At The Head.</v>
          </cell>
          <cell r="G569" t="str">
            <v>Skew - Head</v>
          </cell>
        </row>
        <row r="570">
          <cell r="A570" t="str">
            <v>Conveyor Is Running Skew At The Middle</v>
          </cell>
          <cell r="G570" t="str">
            <v>Skew - Middle</v>
          </cell>
        </row>
        <row r="571">
          <cell r="A571" t="str">
            <v>Conveyor Is Running Skew At The Tail</v>
          </cell>
          <cell r="G571" t="str">
            <v>Skew - Tail</v>
          </cell>
        </row>
        <row r="572">
          <cell r="A572" t="str">
            <v>Conveyor Is Running Skew At The Tail.</v>
          </cell>
          <cell r="G572" t="str">
            <v>Skew - Tail</v>
          </cell>
        </row>
        <row r="573">
          <cell r="A573" t="str">
            <v>Conveyor Is Running Skew At TheTail</v>
          </cell>
          <cell r="G573" t="str">
            <v>Skew - Tail</v>
          </cell>
        </row>
        <row r="574">
          <cell r="A574" t="str">
            <v>Conveyor Is Running Skew In Middle.</v>
          </cell>
          <cell r="G574" t="str">
            <v>Skew - Middle</v>
          </cell>
        </row>
        <row r="575">
          <cell r="A575" t="str">
            <v>Conveyor Is Running Skew In The Middle</v>
          </cell>
          <cell r="G575" t="str">
            <v>Skew - Middle</v>
          </cell>
        </row>
        <row r="576">
          <cell r="A576" t="str">
            <v>Conveyor Is Running Skew In the Middle.</v>
          </cell>
          <cell r="G576" t="str">
            <v>Skew - Middle</v>
          </cell>
        </row>
        <row r="577">
          <cell r="A577" t="str">
            <v>Conveyor Is Running Skew Middle.</v>
          </cell>
          <cell r="G577" t="str">
            <v>Skew - Middle</v>
          </cell>
        </row>
        <row r="578">
          <cell r="A578" t="str">
            <v>Conveyor Is Running Skew On Drive.</v>
          </cell>
          <cell r="G578" t="str">
            <v>Skew - Head</v>
          </cell>
        </row>
        <row r="579">
          <cell r="A579" t="str">
            <v>Conveyor Is Running Skew On The Return</v>
          </cell>
          <cell r="G579" t="str">
            <v>Skew - Tail</v>
          </cell>
        </row>
        <row r="580">
          <cell r="A580" t="str">
            <v>Conveyor Is Running Skew On The Tail.</v>
          </cell>
          <cell r="G580" t="str">
            <v>Skew - Tail</v>
          </cell>
        </row>
        <row r="581">
          <cell r="A581" t="str">
            <v>Conveyor Is Running Skew On The Take</v>
          </cell>
          <cell r="G581" t="str">
            <v>Skew</v>
          </cell>
        </row>
        <row r="582">
          <cell r="A582" t="str">
            <v>Conveyor Is Running Skew.</v>
          </cell>
          <cell r="G582" t="str">
            <v>Skew</v>
          </cell>
        </row>
        <row r="583">
          <cell r="A583" t="str">
            <v>Conveyor Misalignment XS003</v>
          </cell>
          <cell r="G583" t="str">
            <v>Alignment</v>
          </cell>
        </row>
        <row r="584">
          <cell r="A584" t="str">
            <v>Conveyor Mislignment 003,004,005.</v>
          </cell>
          <cell r="G584" t="str">
            <v>Alignment</v>
          </cell>
        </row>
        <row r="585">
          <cell r="A585" t="str">
            <v>Conveyor Ran Skew At Tail</v>
          </cell>
          <cell r="G585" t="str">
            <v>Skew - Tail</v>
          </cell>
        </row>
        <row r="586">
          <cell r="A586" t="str">
            <v>Conveyor Ran Skew At The Tail</v>
          </cell>
          <cell r="G586" t="str">
            <v>Skew - Tail</v>
          </cell>
        </row>
        <row r="587">
          <cell r="A587" t="str">
            <v>Conveyor Run Skew At The Head</v>
          </cell>
          <cell r="G587" t="str">
            <v>Skew - Head</v>
          </cell>
        </row>
        <row r="588">
          <cell r="A588" t="str">
            <v>Conveyor Run Skew At The Tail</v>
          </cell>
          <cell r="G588" t="str">
            <v>Skew - Tail</v>
          </cell>
        </row>
        <row r="589">
          <cell r="A589" t="str">
            <v>Conveyor Run Skew In The Middle</v>
          </cell>
          <cell r="G589" t="str">
            <v>Skew - Middle</v>
          </cell>
        </row>
        <row r="590">
          <cell r="A590" t="str">
            <v>Conveyor Running Skew</v>
          </cell>
          <cell r="G590" t="str">
            <v>Skew</v>
          </cell>
        </row>
        <row r="591">
          <cell r="A591" t="str">
            <v>Conveyor Running Skew At Head.</v>
          </cell>
          <cell r="G591" t="str">
            <v>Skew - Head</v>
          </cell>
        </row>
        <row r="592">
          <cell r="A592" t="str">
            <v>Conveyor Running Skew At Tail</v>
          </cell>
          <cell r="G592" t="str">
            <v>Skew - Tail</v>
          </cell>
        </row>
        <row r="593">
          <cell r="A593" t="str">
            <v>Conveyor Running Skew At Tail.</v>
          </cell>
          <cell r="G593" t="str">
            <v>Skew - Tail</v>
          </cell>
        </row>
        <row r="594">
          <cell r="A594" t="str">
            <v>Conveyor Running Skew In The Middle</v>
          </cell>
          <cell r="G594" t="str">
            <v>Skew - Middle</v>
          </cell>
        </row>
        <row r="595">
          <cell r="A595" t="str">
            <v>Conveyor Running Skew.</v>
          </cell>
          <cell r="G595" t="str">
            <v>Skew</v>
          </cell>
        </row>
        <row r="596">
          <cell r="A596" t="str">
            <v>Conveyor Runs Skew At Head</v>
          </cell>
          <cell r="G596" t="str">
            <v>Skew - Head</v>
          </cell>
        </row>
        <row r="597">
          <cell r="A597" t="str">
            <v>Conveyor Runs Skew At The Head</v>
          </cell>
          <cell r="G597" t="str">
            <v>Skew - Head</v>
          </cell>
        </row>
        <row r="598">
          <cell r="A598" t="str">
            <v>Conveyor Runs Skew At The Tail</v>
          </cell>
          <cell r="G598" t="str">
            <v>Skew - Tail</v>
          </cell>
        </row>
        <row r="599">
          <cell r="A599" t="str">
            <v>Conveyor Runs Skew From LM02 To Cyclone</v>
          </cell>
          <cell r="G599" t="str">
            <v>Skew</v>
          </cell>
        </row>
        <row r="600">
          <cell r="A600" t="str">
            <v>Conveyor Shows Belt Alignment Back Left.</v>
          </cell>
          <cell r="G600" t="str">
            <v>Alignment - Tail</v>
          </cell>
        </row>
        <row r="601">
          <cell r="A601" t="str">
            <v>Conveyor Shows Belt Alignment Front Midd</v>
          </cell>
          <cell r="G601" t="str">
            <v>Alignment - Middle</v>
          </cell>
        </row>
        <row r="602">
          <cell r="A602" t="str">
            <v>Conveyor Shows Belt Alignment Middle</v>
          </cell>
          <cell r="G602" t="str">
            <v>Alignment - Middle</v>
          </cell>
        </row>
        <row r="603">
          <cell r="A603" t="str">
            <v>Conveyor Shows Belt Alignment Tail</v>
          </cell>
          <cell r="G603" t="str">
            <v>Alignment - Tail</v>
          </cell>
        </row>
        <row r="604">
          <cell r="A604" t="str">
            <v>Conveyor Shows Belt Skew XS032</v>
          </cell>
          <cell r="G604" t="str">
            <v>Skew</v>
          </cell>
        </row>
        <row r="605">
          <cell r="A605" t="str">
            <v>Conveyor Shows Misalignment 012.</v>
          </cell>
          <cell r="G605" t="str">
            <v>Alignment</v>
          </cell>
        </row>
        <row r="606">
          <cell r="A606" t="str">
            <v>Conveyor Shows Misalignment XS003.</v>
          </cell>
          <cell r="G606" t="str">
            <v>Alignment</v>
          </cell>
        </row>
        <row r="607">
          <cell r="A607" t="str">
            <v>Conveyor Tripped With Belt Misalignment.</v>
          </cell>
          <cell r="G607" t="str">
            <v>Alignment</v>
          </cell>
        </row>
        <row r="608">
          <cell r="A608" t="str">
            <v>Conveyor XS032 Running Skew</v>
          </cell>
          <cell r="G608" t="str">
            <v>Skew</v>
          </cell>
        </row>
        <row r="609">
          <cell r="A609" t="str">
            <v>GG3 Conveyor Is Running Skew</v>
          </cell>
          <cell r="G609" t="str">
            <v>Skew</v>
          </cell>
        </row>
        <row r="610">
          <cell r="A610" t="str">
            <v>GG5 Conveyor Is  Running Skew</v>
          </cell>
          <cell r="G610" t="str">
            <v>Skew</v>
          </cell>
        </row>
        <row r="611">
          <cell r="A611" t="str">
            <v>GG5 Conveyor Is Running Skew At The Tail</v>
          </cell>
          <cell r="G611" t="str">
            <v>Alignment - Tail</v>
          </cell>
        </row>
        <row r="612">
          <cell r="A612" t="str">
            <v>GG5 Conveyor Runs Skew At The Head</v>
          </cell>
          <cell r="G612" t="str">
            <v>Skew - Head</v>
          </cell>
        </row>
        <row r="613">
          <cell r="A613" t="str">
            <v>Misalignment XS034 At Head.</v>
          </cell>
          <cell r="G613" t="str">
            <v>Alignment - Head</v>
          </cell>
        </row>
        <row r="614">
          <cell r="A614" t="str">
            <v>Misalignment XS034 Keeps On Showing Up</v>
          </cell>
          <cell r="G614" t="str">
            <v>Alignment</v>
          </cell>
        </row>
        <row r="615">
          <cell r="A615" t="str">
            <v>Mod 37 Belt Alignment Middle</v>
          </cell>
          <cell r="G615" t="str">
            <v>Alignment - Middle</v>
          </cell>
        </row>
        <row r="616">
          <cell r="A616" t="str">
            <v>Module 25 Belt Alignment Tail</v>
          </cell>
          <cell r="G616" t="str">
            <v>Alignment - Tail</v>
          </cell>
        </row>
        <row r="617">
          <cell r="A617" t="str">
            <v>Module 25 Belt Is Running Skew At The</v>
          </cell>
          <cell r="G617" t="str">
            <v>Skew</v>
          </cell>
        </row>
        <row r="618">
          <cell r="A618" t="str">
            <v>Module 25 Belt Skew Middle And Tail</v>
          </cell>
          <cell r="G618" t="str">
            <v>Skew</v>
          </cell>
        </row>
        <row r="619">
          <cell r="A619" t="str">
            <v>Module 25 Belt Skew Tail</v>
          </cell>
          <cell r="G619" t="str">
            <v>Skew - Tail</v>
          </cell>
        </row>
        <row r="620">
          <cell r="A620" t="str">
            <v>Module 25 Conveyor Is Running Skew At</v>
          </cell>
          <cell r="G620" t="str">
            <v>Skew</v>
          </cell>
        </row>
        <row r="621">
          <cell r="A621" t="str">
            <v>Module 25 Conveyor Is Running Skew Head</v>
          </cell>
          <cell r="G621" t="str">
            <v>Skew - Head</v>
          </cell>
        </row>
        <row r="622">
          <cell r="A622" t="str">
            <v>Module 25 Conveyor Is Running Skew Tail</v>
          </cell>
          <cell r="G622" t="str">
            <v>Skew - Tail</v>
          </cell>
        </row>
        <row r="623">
          <cell r="A623" t="str">
            <v>Module 25 Conveyor Run Skew Middle</v>
          </cell>
          <cell r="G623" t="str">
            <v>Skew - Middle</v>
          </cell>
        </row>
        <row r="624">
          <cell r="A624" t="str">
            <v>Module 25 Conveyor Runs Skew At The Tail</v>
          </cell>
          <cell r="G624" t="str">
            <v>Skew - Tail</v>
          </cell>
        </row>
        <row r="625">
          <cell r="A625" t="str">
            <v>Module 37 Belt Alignment Middle</v>
          </cell>
          <cell r="G625" t="str">
            <v>Alignment - Middle</v>
          </cell>
        </row>
        <row r="626">
          <cell r="A626" t="str">
            <v>Module 37 Belt Alignment Tail</v>
          </cell>
          <cell r="G626" t="str">
            <v>Alignment - Tail</v>
          </cell>
        </row>
        <row r="627">
          <cell r="A627" t="str">
            <v>Module 37 Conveyor Is Running In The</v>
          </cell>
          <cell r="G627" t="str">
            <v>Skew</v>
          </cell>
        </row>
        <row r="628">
          <cell r="A628" t="str">
            <v>Module 37 Conveyor Is Running Skew In</v>
          </cell>
          <cell r="G628" t="str">
            <v>Skew</v>
          </cell>
        </row>
        <row r="629">
          <cell r="A629" t="str">
            <v>Module 37 Conveyor Run Skew In The</v>
          </cell>
          <cell r="G629" t="str">
            <v>Skew</v>
          </cell>
        </row>
        <row r="630">
          <cell r="A630" t="str">
            <v>Module 37 Conveyor Runs Skew In The</v>
          </cell>
          <cell r="G630" t="str">
            <v>Skew</v>
          </cell>
        </row>
        <row r="631">
          <cell r="A631" t="str">
            <v>Module 37 Feed Belt Alignment Middle</v>
          </cell>
          <cell r="G631" t="str">
            <v>Alignment - Middle</v>
          </cell>
        </row>
        <row r="632">
          <cell r="A632" t="str">
            <v>Module 37 Is Running Skew In The Middle</v>
          </cell>
          <cell r="G632" t="str">
            <v>Skew - Middle</v>
          </cell>
        </row>
        <row r="633">
          <cell r="A633" t="str">
            <v>Product Belt Is Running Skew</v>
          </cell>
          <cell r="G633" t="str">
            <v>Skew</v>
          </cell>
        </row>
        <row r="634">
          <cell r="A634" t="str">
            <v>Product Belt Run Skew At The Head</v>
          </cell>
          <cell r="G634" t="str">
            <v>Skew - Head</v>
          </cell>
        </row>
        <row r="635">
          <cell r="A635" t="str">
            <v>Product Conveyor Running Skew.</v>
          </cell>
          <cell r="G635" t="str">
            <v>Skew</v>
          </cell>
        </row>
        <row r="636">
          <cell r="A636" t="str">
            <v>RUNNING SCEW</v>
          </cell>
          <cell r="G636" t="str">
            <v>Skew</v>
          </cell>
        </row>
        <row r="637">
          <cell r="A637" t="str">
            <v>Running Skew</v>
          </cell>
          <cell r="G637" t="str">
            <v>Skew</v>
          </cell>
        </row>
        <row r="638">
          <cell r="A638" t="str">
            <v>Running Skew At Head</v>
          </cell>
          <cell r="G638" t="str">
            <v>Skew - Head</v>
          </cell>
        </row>
        <row r="639">
          <cell r="A639" t="str">
            <v>Running Skew At Tail.</v>
          </cell>
          <cell r="G639" t="str">
            <v>Skew - Tail</v>
          </cell>
        </row>
        <row r="640">
          <cell r="A640" t="str">
            <v>Running Skew At The Tail</v>
          </cell>
          <cell r="G640" t="str">
            <v>Skew - Tail</v>
          </cell>
        </row>
        <row r="641">
          <cell r="A641" t="str">
            <v>Running Skew At the Tail.</v>
          </cell>
          <cell r="G641" t="str">
            <v>Skew - Tail</v>
          </cell>
        </row>
        <row r="642">
          <cell r="A642" t="str">
            <v>Running Skew At The Take Up</v>
          </cell>
          <cell r="G642" t="str">
            <v>Skew</v>
          </cell>
        </row>
        <row r="643">
          <cell r="A643" t="str">
            <v>Running Skew From Takeup To Tail.</v>
          </cell>
          <cell r="G643" t="str">
            <v>Skew - Tail</v>
          </cell>
        </row>
        <row r="644">
          <cell r="A644" t="str">
            <v>Running Skew In Middle.</v>
          </cell>
          <cell r="G644" t="str">
            <v>Skew - Middle</v>
          </cell>
        </row>
        <row r="645">
          <cell r="A645" t="str">
            <v>Running Skew In The Meddle</v>
          </cell>
          <cell r="G645" t="str">
            <v>Skew - Middle</v>
          </cell>
        </row>
        <row r="646">
          <cell r="A646" t="str">
            <v>Running Skew In The Middle</v>
          </cell>
          <cell r="G646" t="str">
            <v>Skew - Middle</v>
          </cell>
        </row>
        <row r="647">
          <cell r="A647" t="str">
            <v>Running Skew.</v>
          </cell>
          <cell r="G647" t="str">
            <v>Skew</v>
          </cell>
        </row>
        <row r="648">
          <cell r="A648" t="str">
            <v>Sample Conveyor is Running Skew.</v>
          </cell>
          <cell r="G648" t="str">
            <v>Skew</v>
          </cell>
        </row>
        <row r="649">
          <cell r="A649" t="str">
            <v>Shows Belt Alignment</v>
          </cell>
          <cell r="G649" t="str">
            <v>Alignment</v>
          </cell>
        </row>
        <row r="650">
          <cell r="A650" t="str">
            <v>Shows Belt Alignment At Tail.</v>
          </cell>
          <cell r="G650" t="str">
            <v>Alignment - Tail</v>
          </cell>
        </row>
        <row r="651">
          <cell r="A651" t="str">
            <v>Shows Belt Alignment Head.</v>
          </cell>
          <cell r="G651" t="str">
            <v>Alignment - Head</v>
          </cell>
        </row>
        <row r="652">
          <cell r="A652" t="str">
            <v>Shows Belt Alignment Tail.</v>
          </cell>
          <cell r="G652" t="str">
            <v>Alignment - Tail</v>
          </cell>
        </row>
        <row r="653">
          <cell r="A653" t="str">
            <v>Shows Belt Misalignment XS001.</v>
          </cell>
          <cell r="G653" t="str">
            <v>Alignment</v>
          </cell>
        </row>
        <row r="654">
          <cell r="A654" t="str">
            <v>Shows Belt Misalingment XS003 Faulty.</v>
          </cell>
          <cell r="G654" t="str">
            <v>Alignment</v>
          </cell>
        </row>
        <row r="655">
          <cell r="A655" t="str">
            <v>Shows Belt Skew 002.</v>
          </cell>
          <cell r="G655" t="str">
            <v>Skew</v>
          </cell>
        </row>
        <row r="656">
          <cell r="A656" t="str">
            <v>Shows Belt Skew And Belt Alignment.</v>
          </cell>
          <cell r="G656" t="str">
            <v>Alignment</v>
          </cell>
        </row>
        <row r="657">
          <cell r="A657" t="str">
            <v>Shows Belt Skew At Head.</v>
          </cell>
          <cell r="G657" t="str">
            <v>Skew - Head</v>
          </cell>
        </row>
        <row r="658">
          <cell r="A658" t="str">
            <v>Shows Belt Skew At Tail.</v>
          </cell>
          <cell r="G658" t="str">
            <v>Skew - Tail</v>
          </cell>
        </row>
        <row r="659">
          <cell r="A659" t="str">
            <v>Shows Belt Skew Front Right.</v>
          </cell>
          <cell r="G659" t="str">
            <v>Skew - Head</v>
          </cell>
        </row>
        <row r="660">
          <cell r="A660" t="str">
            <v>Shows Skew Run.</v>
          </cell>
          <cell r="G660" t="str">
            <v>Skew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A8559E-266C-4A2F-8666-7F8618298778}" name="Table6" displayName="Table6" ref="A1:U214" totalsRowShown="0" headerRowDxfId="16">
  <autoFilter ref="A1:U214" xr:uid="{6EA8559E-266C-4A2F-8666-7F8618298778}"/>
  <tableColumns count="21">
    <tableColumn id="1" xr3:uid="{9C83072A-36EA-4B53-A547-2D1209FF67B8}" name="Notification" dataDxfId="15"/>
    <tableColumn id="2" xr3:uid="{4F795850-C6A5-4AE1-9136-AE8550EB0158}" name="Description" dataDxfId="14"/>
    <tableColumn id="3" xr3:uid="{918AA26B-5655-49D1-89C8-B7F407C0D20F}" name="Functional Loc." dataDxfId="13"/>
    <tableColumn id="4" xr3:uid="{35D40825-8D7B-42CF-9660-C3EC2E3464D5}" name="Conveyor Name">
      <calculatedColumnFormula>MID(C2,9,3) &amp;"-"&amp; MID(C2,21,3)&amp;"0"</calculatedColumnFormula>
    </tableColumn>
    <tableColumn id="5" xr3:uid="{7ADD05CD-72F1-4700-9BF0-B587F67AA359}" name="Type">
      <calculatedColumnFormula>MID(C2,25,LEN(C2)-14)</calculatedColumnFormula>
    </tableColumn>
    <tableColumn id="6" xr3:uid="{9FA6CF05-4513-4135-8458-E2070198D47D}" name="Exxaro Classification"/>
    <tableColumn id="9" xr3:uid="{DA4CCD39-BDC2-421E-9747-B0BB029C5267}" name="Equipment Downtime "/>
    <tableColumn id="7" xr3:uid="{181E363C-2B4A-4C2E-9AFE-E55175F10777}" name="C&amp;I + Tracking Breakdown" dataDxfId="12">
      <calculatedColumnFormula>_xlfn.XLOOKUP(Table6[[#This Row],[Description]],[1]Class!$A$4:$A$660,[1]Class!$G$4:$G$660,"",0,1)</calculatedColumnFormula>
    </tableColumn>
    <tableColumn id="10" xr3:uid="{295BF608-3B55-4F3D-A712-1C35D466FBB1}" name="Plant">
      <calculatedColumnFormula>"GG"&amp;MID([1]!Table1[[#This Row],[Functional Loc.]],6,2)</calculatedColumnFormula>
    </tableColumn>
    <tableColumn id="11" xr3:uid="{EE498486-0B13-4827-A99F-485EF8D8CED2}" name="Created By" dataDxfId="11"/>
    <tableColumn id="12" xr3:uid="{91BF4200-F82D-4743-92DD-80BC0F0AB3B9}" name="Notif.date" dataDxfId="10"/>
    <tableColumn id="13" xr3:uid="{F5DC9035-249E-4E4F-A43E-19B78D40E562}" name="System status" dataDxfId="9"/>
    <tableColumn id="14" xr3:uid="{9CB418B2-3102-4FBC-A0E5-A0BA08B9893A}" name="Breakdown" dataDxfId="8"/>
    <tableColumn id="15" xr3:uid="{3958818E-3EB7-4830-B4BD-A469D4A52EBF}" name="Breakdown dur." dataDxfId="7"/>
    <tableColumn id="16" xr3:uid="{6DB4117B-6CED-4F4D-8D52-DC5A4863D07B}" name="Breakdown Dur Check" dataDxfId="6">
      <calculatedColumnFormula>TIMEVALUE([1]!Table1[[#This Row],[Malfunction end]])-TIMEVALUE([1]!Table1[[#This Row],[Start Malfn (T)]])</calculatedColumnFormula>
    </tableColumn>
    <tableColumn id="17" xr3:uid="{F029E916-5F57-466F-81CD-22BA9A91295A}" name="Malfunct. start" dataDxfId="5"/>
    <tableColumn id="18" xr3:uid="{A632850B-3CA8-4AB1-92D2-0CB5989391E2}" name="Start Malfn (T)" dataDxfId="4"/>
    <tableColumn id="19" xr3:uid="{941FD29A-D8AE-45EB-A32B-90CC84A0172B}" name="Malfunct.end" dataDxfId="3"/>
    <tableColumn id="20" xr3:uid="{F39D609B-A760-4CEB-B8BF-16CF0E4B06FB}" name="Malfunction end" dataDxfId="2"/>
    <tableColumn id="21" xr3:uid="{EBF42428-B30B-4479-B8F4-82A21B76959F}" name="MaintPlant" dataDxfId="1"/>
    <tableColumn id="22" xr3:uid="{CAB1B310-F23E-4734-8C98-238C7E418C67}" name="Planner 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6"/>
  <sheetViews>
    <sheetView tabSelected="1" workbookViewId="0">
      <selection activeCell="C20" sqref="C20"/>
    </sheetView>
  </sheetViews>
  <sheetFormatPr defaultRowHeight="15" x14ac:dyDescent="0.25"/>
  <cols>
    <col min="1" max="1" width="13" customWidth="1"/>
    <col min="2" max="2" width="36.42578125" customWidth="1"/>
    <col min="3" max="3" width="46.42578125" customWidth="1"/>
    <col min="4" max="4" width="16.42578125" customWidth="1"/>
    <col min="6" max="6" width="20.140625" customWidth="1"/>
    <col min="7" max="8" width="21.85546875" customWidth="1"/>
    <col min="10" max="10" width="12" customWidth="1"/>
    <col min="11" max="11" width="11.5703125" customWidth="1"/>
    <col min="12" max="12" width="14.42578125" customWidth="1"/>
    <col min="13" max="13" width="12.42578125" customWidth="1"/>
    <col min="14" max="14" width="16.42578125" customWidth="1"/>
    <col min="15" max="15" width="21.42578125" customWidth="1"/>
    <col min="16" max="16" width="15.42578125" customWidth="1"/>
    <col min="17" max="17" width="15" customWidth="1"/>
    <col min="18" max="18" width="14.42578125" customWidth="1"/>
    <col min="19" max="19" width="16.85546875" customWidth="1"/>
    <col min="20" max="20" width="12.42578125" customWidth="1"/>
    <col min="21" max="21" width="14.5703125" customWidth="1"/>
  </cols>
  <sheetData>
    <row r="1" spans="1:2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8</v>
      </c>
      <c r="G1" s="8" t="s">
        <v>9</v>
      </c>
      <c r="H1" s="8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9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7" t="s">
        <v>22</v>
      </c>
      <c r="U1" s="7" t="s">
        <v>23</v>
      </c>
    </row>
    <row r="2" spans="1:21" x14ac:dyDescent="0.25">
      <c r="A2" s="5" t="s">
        <v>24</v>
      </c>
      <c r="B2" s="1" t="s">
        <v>5</v>
      </c>
      <c r="C2" s="1" t="s">
        <v>25</v>
      </c>
      <c r="D2" s="10" t="str">
        <f t="shared" ref="D2:D65" si="0">MID(C2,9,3) &amp;"-"&amp; MID(C2,21,3)&amp;"0"</f>
        <v>579-0800</v>
      </c>
      <c r="E2" s="2" t="str">
        <f t="shared" ref="E2:E65" si="1">MID(C2,25,LEN(C2)-14)</f>
        <v>BET-001</v>
      </c>
      <c r="F2" s="2" t="s">
        <v>26</v>
      </c>
      <c r="G2" s="2" t="s">
        <v>27</v>
      </c>
      <c r="H2" s="2" t="str">
        <f>_xlfn.XLOOKUP(Table6[[#This Row],[Description]],[1]Class!$A$4:$A$660,[1]Class!$G$4:$G$660,"",0,1)</f>
        <v>Skew</v>
      </c>
      <c r="I2" s="2" t="s">
        <v>28</v>
      </c>
      <c r="J2" s="1" t="s">
        <v>29</v>
      </c>
      <c r="K2" s="11">
        <v>45217</v>
      </c>
      <c r="L2" s="1" t="s">
        <v>30</v>
      </c>
      <c r="M2" s="1" t="s">
        <v>31</v>
      </c>
      <c r="N2" s="12">
        <v>0.57999999999999996</v>
      </c>
      <c r="O2" s="13">
        <f>TIMEVALUE([1]!Table1[[#This Row],[Malfunction end]])-TIMEVALUE([1]!Table1[[#This Row],[Start Malfn (T)]])</f>
        <v>0.125</v>
      </c>
      <c r="P2" s="11">
        <v>45217</v>
      </c>
      <c r="Q2" s="1" t="s">
        <v>32</v>
      </c>
      <c r="R2" s="11">
        <v>45217</v>
      </c>
      <c r="S2" s="1" t="s">
        <v>33</v>
      </c>
      <c r="T2" s="1" t="s">
        <v>34</v>
      </c>
      <c r="U2" s="14" t="s">
        <v>35</v>
      </c>
    </row>
    <row r="3" spans="1:21" x14ac:dyDescent="0.25">
      <c r="A3" s="5" t="s">
        <v>36</v>
      </c>
      <c r="B3" s="3" t="s">
        <v>37</v>
      </c>
      <c r="C3" s="3" t="s">
        <v>25</v>
      </c>
      <c r="D3" s="4" t="str">
        <f t="shared" si="0"/>
        <v>579-0800</v>
      </c>
      <c r="E3" s="4" t="str">
        <f t="shared" si="1"/>
        <v>BET-001</v>
      </c>
      <c r="F3" s="4" t="s">
        <v>26</v>
      </c>
      <c r="G3" s="4" t="s">
        <v>38</v>
      </c>
      <c r="H3" s="4" t="str">
        <f>_xlfn.XLOOKUP(Table6[[#This Row],[Description]],[1]Class!$A$4:$A$660,[1]Class!$G$4:$G$660,"",0,1)</f>
        <v/>
      </c>
      <c r="I3" s="4" t="s">
        <v>28</v>
      </c>
      <c r="J3" s="3" t="s">
        <v>39</v>
      </c>
      <c r="K3" s="15">
        <v>44814</v>
      </c>
      <c r="L3" s="3" t="s">
        <v>30</v>
      </c>
      <c r="M3" s="3" t="s">
        <v>31</v>
      </c>
      <c r="N3" s="16">
        <v>0.62</v>
      </c>
      <c r="O3" s="17">
        <f>TIMEVALUE([1]!Table1[[#This Row],[Malfunction end]])-TIMEVALUE([1]!Table1[[#This Row],[Start Malfn (T)]])</f>
        <v>3.2164351851851847E-2</v>
      </c>
      <c r="P3" s="15">
        <v>44814</v>
      </c>
      <c r="Q3" s="3" t="s">
        <v>40</v>
      </c>
      <c r="R3" s="15">
        <v>44814</v>
      </c>
      <c r="S3" s="3" t="s">
        <v>41</v>
      </c>
      <c r="T3" s="3" t="s">
        <v>34</v>
      </c>
      <c r="U3" s="18" t="s">
        <v>35</v>
      </c>
    </row>
    <row r="4" spans="1:21" x14ac:dyDescent="0.25">
      <c r="A4" s="5" t="s">
        <v>42</v>
      </c>
      <c r="B4" s="1" t="s">
        <v>43</v>
      </c>
      <c r="C4" s="1" t="s">
        <v>44</v>
      </c>
      <c r="D4" s="2" t="str">
        <f t="shared" si="0"/>
        <v>579-0800</v>
      </c>
      <c r="E4" s="2" t="str">
        <f t="shared" si="1"/>
        <v>CHU-001</v>
      </c>
      <c r="F4" s="2" t="s">
        <v>45</v>
      </c>
      <c r="G4" s="2" t="s">
        <v>46</v>
      </c>
      <c r="H4" s="2" t="str">
        <f>_xlfn.XLOOKUP(Table6[[#This Row],[Description]],[1]Class!$A$4:$A$660,[1]Class!$G$4:$G$660,"",0,1)</f>
        <v>Blockchute</v>
      </c>
      <c r="I4" s="2" t="s">
        <v>28</v>
      </c>
      <c r="J4" s="1" t="s">
        <v>47</v>
      </c>
      <c r="K4" s="11">
        <v>45203</v>
      </c>
      <c r="L4" s="1" t="s">
        <v>30</v>
      </c>
      <c r="M4" s="1" t="s">
        <v>31</v>
      </c>
      <c r="N4" s="12">
        <v>2.73</v>
      </c>
      <c r="O4" s="13">
        <f>TIMEVALUE([1]!Table1[[#This Row],[Malfunction end]])-TIMEVALUE([1]!Table1[[#This Row],[Start Malfn (T)]])</f>
        <v>4.1666666666666664E-2</v>
      </c>
      <c r="P4" s="11">
        <v>45203</v>
      </c>
      <c r="Q4" s="1" t="s">
        <v>48</v>
      </c>
      <c r="R4" s="11">
        <v>45204</v>
      </c>
      <c r="S4" s="1" t="s">
        <v>49</v>
      </c>
      <c r="T4" s="1" t="s">
        <v>34</v>
      </c>
      <c r="U4" s="14" t="s">
        <v>50</v>
      </c>
    </row>
    <row r="5" spans="1:21" x14ac:dyDescent="0.25">
      <c r="A5" s="5" t="s">
        <v>51</v>
      </c>
      <c r="B5" s="3" t="s">
        <v>52</v>
      </c>
      <c r="C5" s="3" t="s">
        <v>53</v>
      </c>
      <c r="D5" s="4" t="str">
        <f t="shared" si="0"/>
        <v>579-0800</v>
      </c>
      <c r="E5" s="4" t="str">
        <f t="shared" si="1"/>
        <v>ELE-PNL-001</v>
      </c>
      <c r="F5" s="4" t="s">
        <v>54</v>
      </c>
      <c r="G5" s="4" t="s">
        <v>46</v>
      </c>
      <c r="H5" s="4" t="str">
        <f>_xlfn.XLOOKUP(Table6[[#This Row],[Description]],[1]Class!$A$4:$A$660,[1]Class!$G$4:$G$660,"",0,1)</f>
        <v>Blockchute</v>
      </c>
      <c r="I5" s="2" t="s">
        <v>28</v>
      </c>
      <c r="J5" s="3" t="s">
        <v>55</v>
      </c>
      <c r="K5" s="15">
        <v>45270</v>
      </c>
      <c r="L5" s="3" t="s">
        <v>30</v>
      </c>
      <c r="M5" s="3" t="s">
        <v>31</v>
      </c>
      <c r="N5" s="16">
        <v>1.29</v>
      </c>
      <c r="O5" s="17">
        <f>TIMEVALUE([1]!Table1[[#This Row],[Malfunction end]])-TIMEVALUE([1]!Table1[[#This Row],[Start Malfn (T)]])</f>
        <v>0.15833333333333333</v>
      </c>
      <c r="P5" s="15">
        <v>45270</v>
      </c>
      <c r="Q5" s="3" t="s">
        <v>56</v>
      </c>
      <c r="R5" s="15">
        <v>45270</v>
      </c>
      <c r="S5" s="3" t="s">
        <v>57</v>
      </c>
      <c r="T5" s="3" t="s">
        <v>34</v>
      </c>
      <c r="U5" s="18" t="s">
        <v>58</v>
      </c>
    </row>
    <row r="6" spans="1:21" x14ac:dyDescent="0.25">
      <c r="A6" s="5" t="s">
        <v>59</v>
      </c>
      <c r="B6" s="1" t="s">
        <v>60</v>
      </c>
      <c r="C6" s="1" t="s">
        <v>53</v>
      </c>
      <c r="D6" s="2" t="str">
        <f t="shared" si="0"/>
        <v>579-0800</v>
      </c>
      <c r="E6" s="2" t="str">
        <f t="shared" si="1"/>
        <v>ELE-PNL-001</v>
      </c>
      <c r="F6" s="2" t="s">
        <v>54</v>
      </c>
      <c r="G6" s="2" t="s">
        <v>46</v>
      </c>
      <c r="H6" s="2" t="str">
        <f>_xlfn.XLOOKUP(Table6[[#This Row],[Description]],[1]Class!$A$4:$A$660,[1]Class!$G$4:$G$660,"",0,1)</f>
        <v>Underspeed</v>
      </c>
      <c r="I6" s="4" t="s">
        <v>28</v>
      </c>
      <c r="J6" s="1" t="s">
        <v>47</v>
      </c>
      <c r="K6" s="11">
        <v>44796</v>
      </c>
      <c r="L6" s="1" t="s">
        <v>30</v>
      </c>
      <c r="M6" s="1" t="s">
        <v>31</v>
      </c>
      <c r="N6" s="12">
        <v>0.62</v>
      </c>
      <c r="O6" s="13">
        <f>TIMEVALUE([1]!Table1[[#This Row],[Malfunction end]])-TIMEVALUE([1]!Table1[[#This Row],[Start Malfn (T)]])</f>
        <v>3.7847222222221477E-3</v>
      </c>
      <c r="P6" s="11">
        <v>44796</v>
      </c>
      <c r="Q6" s="1" t="s">
        <v>61</v>
      </c>
      <c r="R6" s="11">
        <v>44796</v>
      </c>
      <c r="S6" s="1" t="s">
        <v>62</v>
      </c>
      <c r="T6" s="1" t="s">
        <v>34</v>
      </c>
      <c r="U6" s="14" t="s">
        <v>58</v>
      </c>
    </row>
    <row r="7" spans="1:21" x14ac:dyDescent="0.25">
      <c r="A7" s="5" t="s">
        <v>63</v>
      </c>
      <c r="B7" s="3" t="s">
        <v>64</v>
      </c>
      <c r="C7" s="3" t="s">
        <v>53</v>
      </c>
      <c r="D7" s="4" t="str">
        <f t="shared" si="0"/>
        <v>579-0800</v>
      </c>
      <c r="E7" s="4" t="str">
        <f t="shared" si="1"/>
        <v>ELE-PNL-001</v>
      </c>
      <c r="F7" s="4" t="s">
        <v>54</v>
      </c>
      <c r="G7" s="4" t="s">
        <v>46</v>
      </c>
      <c r="H7" s="4" t="str">
        <f>_xlfn.XLOOKUP(Table6[[#This Row],[Description]],[1]Class!$A$4:$A$660,[1]Class!$G$4:$G$660,"",0,1)</f>
        <v>Blockchute</v>
      </c>
      <c r="I7" s="2" t="s">
        <v>28</v>
      </c>
      <c r="J7" s="3" t="s">
        <v>65</v>
      </c>
      <c r="K7" s="15">
        <v>45026</v>
      </c>
      <c r="L7" s="3" t="s">
        <v>30</v>
      </c>
      <c r="M7" s="3" t="s">
        <v>31</v>
      </c>
      <c r="N7" s="16">
        <v>0.57999999999999996</v>
      </c>
      <c r="O7" s="17">
        <f>TIMEVALUE([1]!Table1[[#This Row],[Malfunction end]])-TIMEVALUE([1]!Table1[[#This Row],[Start Malfn (T)]])</f>
        <v>0.15277777777777779</v>
      </c>
      <c r="P7" s="15">
        <v>45025</v>
      </c>
      <c r="Q7" s="3" t="s">
        <v>66</v>
      </c>
      <c r="R7" s="15">
        <v>45026</v>
      </c>
      <c r="S7" s="3" t="s">
        <v>67</v>
      </c>
      <c r="T7" s="3" t="s">
        <v>34</v>
      </c>
      <c r="U7" s="18" t="s">
        <v>58</v>
      </c>
    </row>
    <row r="8" spans="1:21" x14ac:dyDescent="0.25">
      <c r="A8" s="5" t="s">
        <v>68</v>
      </c>
      <c r="B8" s="1" t="s">
        <v>69</v>
      </c>
      <c r="C8" s="1" t="s">
        <v>53</v>
      </c>
      <c r="D8" s="2" t="str">
        <f t="shared" si="0"/>
        <v>579-0800</v>
      </c>
      <c r="E8" s="2" t="str">
        <f t="shared" si="1"/>
        <v>ELE-PNL-001</v>
      </c>
      <c r="F8" s="2" t="s">
        <v>54</v>
      </c>
      <c r="G8" s="2" t="s">
        <v>46</v>
      </c>
      <c r="H8" s="2" t="str">
        <f>_xlfn.XLOOKUP(Table6[[#This Row],[Description]],[1]Class!$A$4:$A$660,[1]Class!$G$4:$G$660,"",0,1)</f>
        <v>Retain</v>
      </c>
      <c r="I8" s="2" t="s">
        <v>28</v>
      </c>
      <c r="J8" s="1" t="s">
        <v>55</v>
      </c>
      <c r="K8" s="11">
        <v>45250</v>
      </c>
      <c r="L8" s="1" t="s">
        <v>30</v>
      </c>
      <c r="M8" s="1" t="s">
        <v>31</v>
      </c>
      <c r="N8" s="12">
        <v>2.0099999999999998</v>
      </c>
      <c r="O8" s="13">
        <f>TIMEVALUE([1]!Table1[[#This Row],[Malfunction end]])-TIMEVALUE([1]!Table1[[#This Row],[Start Malfn (T)]])</f>
        <v>0.1868171296296296</v>
      </c>
      <c r="P8" s="11">
        <v>45250</v>
      </c>
      <c r="Q8" s="1" t="s">
        <v>70</v>
      </c>
      <c r="R8" s="11">
        <v>45250</v>
      </c>
      <c r="S8" s="1" t="s">
        <v>71</v>
      </c>
      <c r="T8" s="1" t="s">
        <v>34</v>
      </c>
      <c r="U8" s="14" t="s">
        <v>58</v>
      </c>
    </row>
    <row r="9" spans="1:21" x14ac:dyDescent="0.25">
      <c r="A9" s="5" t="s">
        <v>72</v>
      </c>
      <c r="B9" s="3" t="s">
        <v>73</v>
      </c>
      <c r="C9" s="3" t="s">
        <v>53</v>
      </c>
      <c r="D9" s="4" t="str">
        <f t="shared" si="0"/>
        <v>579-0800</v>
      </c>
      <c r="E9" s="4" t="str">
        <f t="shared" si="1"/>
        <v>ELE-PNL-001</v>
      </c>
      <c r="F9" s="4" t="s">
        <v>54</v>
      </c>
      <c r="G9" s="4" t="s">
        <v>46</v>
      </c>
      <c r="H9" s="4" t="str">
        <f>_xlfn.XLOOKUP(Table6[[#This Row],[Description]],[1]Class!$A$4:$A$660,[1]Class!$G$4:$G$660,"",0,1)</f>
        <v>Lockout</v>
      </c>
      <c r="I9" s="4" t="s">
        <v>28</v>
      </c>
      <c r="J9" s="3" t="s">
        <v>74</v>
      </c>
      <c r="K9" s="15">
        <v>45182</v>
      </c>
      <c r="L9" s="3" t="s">
        <v>30</v>
      </c>
      <c r="M9" s="3" t="s">
        <v>31</v>
      </c>
      <c r="N9" s="16">
        <v>0.35</v>
      </c>
      <c r="O9" s="17">
        <f>TIMEVALUE([1]!Table1[[#This Row],[Malfunction end]])-TIMEVALUE([1]!Table1[[#This Row],[Start Malfn (T)]])</f>
        <v>0.11527777777777781</v>
      </c>
      <c r="P9" s="15">
        <v>45182</v>
      </c>
      <c r="Q9" s="3" t="s">
        <v>75</v>
      </c>
      <c r="R9" s="15">
        <v>45182</v>
      </c>
      <c r="S9" s="3" t="s">
        <v>76</v>
      </c>
      <c r="T9" s="3" t="s">
        <v>34</v>
      </c>
      <c r="U9" s="18" t="s">
        <v>58</v>
      </c>
    </row>
    <row r="10" spans="1:21" x14ac:dyDescent="0.25">
      <c r="A10" s="5" t="s">
        <v>77</v>
      </c>
      <c r="B10" s="1" t="s">
        <v>64</v>
      </c>
      <c r="C10" s="1" t="s">
        <v>53</v>
      </c>
      <c r="D10" s="2" t="str">
        <f t="shared" si="0"/>
        <v>579-0800</v>
      </c>
      <c r="E10" s="2" t="str">
        <f t="shared" si="1"/>
        <v>ELE-PNL-001</v>
      </c>
      <c r="F10" s="2" t="s">
        <v>54</v>
      </c>
      <c r="G10" s="2" t="s">
        <v>46</v>
      </c>
      <c r="H10" s="2" t="str">
        <f>_xlfn.XLOOKUP(Table6[[#This Row],[Description]],[1]Class!$A$4:$A$660,[1]Class!$G$4:$G$660,"",0,1)</f>
        <v>Blockchute</v>
      </c>
      <c r="I10" s="2" t="s">
        <v>28</v>
      </c>
      <c r="J10" s="1" t="s">
        <v>29</v>
      </c>
      <c r="K10" s="11">
        <v>45237</v>
      </c>
      <c r="L10" s="1" t="s">
        <v>30</v>
      </c>
      <c r="M10" s="1" t="s">
        <v>31</v>
      </c>
      <c r="N10" s="12">
        <v>0.23</v>
      </c>
      <c r="O10" s="13">
        <f>TIMEVALUE([1]!Table1[[#This Row],[Malfunction end]])-TIMEVALUE([1]!Table1[[#This Row],[Start Malfn (T)]])</f>
        <v>0.13584490740740743</v>
      </c>
      <c r="P10" s="11">
        <v>45236</v>
      </c>
      <c r="Q10" s="1" t="s">
        <v>78</v>
      </c>
      <c r="R10" s="11">
        <v>45236</v>
      </c>
      <c r="S10" s="1" t="s">
        <v>79</v>
      </c>
      <c r="T10" s="1" t="s">
        <v>34</v>
      </c>
      <c r="U10" s="14" t="s">
        <v>58</v>
      </c>
    </row>
    <row r="11" spans="1:21" x14ac:dyDescent="0.25">
      <c r="A11" s="5" t="s">
        <v>80</v>
      </c>
      <c r="B11" s="3" t="s">
        <v>81</v>
      </c>
      <c r="C11" s="3" t="s">
        <v>53</v>
      </c>
      <c r="D11" s="4" t="str">
        <f t="shared" si="0"/>
        <v>579-0800</v>
      </c>
      <c r="E11" s="4" t="str">
        <f t="shared" si="1"/>
        <v>ELE-PNL-001</v>
      </c>
      <c r="F11" s="4" t="s">
        <v>54</v>
      </c>
      <c r="G11" s="4" t="s">
        <v>45</v>
      </c>
      <c r="H11" s="4" t="str">
        <f>_xlfn.XLOOKUP(Table6[[#This Row],[Description]],[1]Class!$A$4:$A$660,[1]Class!$G$4:$G$660,"",0,1)</f>
        <v/>
      </c>
      <c r="I11" s="2" t="s">
        <v>28</v>
      </c>
      <c r="J11" s="3" t="s">
        <v>29</v>
      </c>
      <c r="K11" s="15">
        <v>44826</v>
      </c>
      <c r="L11" s="3" t="s">
        <v>30</v>
      </c>
      <c r="M11" s="3" t="s">
        <v>31</v>
      </c>
      <c r="N11" s="16">
        <v>1.78</v>
      </c>
      <c r="O11" s="17">
        <f>TIMEVALUE([1]!Table1[[#This Row],[Malfunction end]])-TIMEVALUE([1]!Table1[[#This Row],[Start Malfn (T)]])</f>
        <v>1.7731481481481404E-2</v>
      </c>
      <c r="P11" s="15">
        <v>44825</v>
      </c>
      <c r="Q11" s="3" t="s">
        <v>82</v>
      </c>
      <c r="R11" s="15">
        <v>44825</v>
      </c>
      <c r="S11" s="3" t="s">
        <v>83</v>
      </c>
      <c r="T11" s="3" t="s">
        <v>34</v>
      </c>
      <c r="U11" s="18" t="s">
        <v>58</v>
      </c>
    </row>
    <row r="12" spans="1:21" x14ac:dyDescent="0.25">
      <c r="A12" s="5" t="s">
        <v>84</v>
      </c>
      <c r="B12" s="1" t="s">
        <v>85</v>
      </c>
      <c r="C12" s="1" t="s">
        <v>53</v>
      </c>
      <c r="D12" s="2" t="str">
        <f t="shared" si="0"/>
        <v>579-0800</v>
      </c>
      <c r="E12" s="2" t="str">
        <f t="shared" si="1"/>
        <v>ELE-PNL-001</v>
      </c>
      <c r="F12" s="2" t="s">
        <v>54</v>
      </c>
      <c r="G12" s="2" t="s">
        <v>46</v>
      </c>
      <c r="H12" s="2" t="str">
        <f>_xlfn.XLOOKUP(Table6[[#This Row],[Description]],[1]Class!$A$4:$A$660,[1]Class!$G$4:$G$660,"",0,1)</f>
        <v>Alarm</v>
      </c>
      <c r="I12" s="4" t="s">
        <v>28</v>
      </c>
      <c r="J12" s="1" t="s">
        <v>47</v>
      </c>
      <c r="K12" s="11">
        <v>45306</v>
      </c>
      <c r="L12" s="1" t="s">
        <v>30</v>
      </c>
      <c r="M12" s="1" t="s">
        <v>31</v>
      </c>
      <c r="N12" s="12">
        <v>1.29</v>
      </c>
      <c r="O12" s="13">
        <f>TIMEVALUE([1]!Table1[[#This Row],[Malfunction end]])-TIMEVALUE([1]!Table1[[#This Row],[Start Malfn (T)]])</f>
        <v>-0.71863425925925928</v>
      </c>
      <c r="P12" s="11">
        <v>45306</v>
      </c>
      <c r="Q12" s="1" t="s">
        <v>86</v>
      </c>
      <c r="R12" s="11">
        <v>45306</v>
      </c>
      <c r="S12" s="1" t="s">
        <v>87</v>
      </c>
      <c r="T12" s="1" t="s">
        <v>34</v>
      </c>
      <c r="U12" s="14" t="s">
        <v>58</v>
      </c>
    </row>
    <row r="13" spans="1:21" x14ac:dyDescent="0.25">
      <c r="A13" s="5" t="s">
        <v>88</v>
      </c>
      <c r="B13" s="3" t="s">
        <v>64</v>
      </c>
      <c r="C13" s="3" t="s">
        <v>53</v>
      </c>
      <c r="D13" s="4" t="str">
        <f t="shared" si="0"/>
        <v>579-0800</v>
      </c>
      <c r="E13" s="4" t="str">
        <f t="shared" si="1"/>
        <v>ELE-PNL-001</v>
      </c>
      <c r="F13" s="4" t="s">
        <v>54</v>
      </c>
      <c r="G13" s="4" t="s">
        <v>46</v>
      </c>
      <c r="H13" s="4" t="str">
        <f>_xlfn.XLOOKUP(Table6[[#This Row],[Description]],[1]Class!$A$4:$A$660,[1]Class!$G$4:$G$660,"",0,1)</f>
        <v>Blockchute</v>
      </c>
      <c r="I13" s="2" t="s">
        <v>28</v>
      </c>
      <c r="J13" s="3" t="s">
        <v>29</v>
      </c>
      <c r="K13" s="15">
        <v>45012</v>
      </c>
      <c r="L13" s="3" t="s">
        <v>30</v>
      </c>
      <c r="M13" s="3" t="s">
        <v>31</v>
      </c>
      <c r="N13" s="16">
        <v>0.76</v>
      </c>
      <c r="O13" s="17">
        <f>TIMEVALUE([1]!Table1[[#This Row],[Malfunction end]])-TIMEVALUE([1]!Table1[[#This Row],[Start Malfn (T)]])</f>
        <v>4.7916666666666607E-2</v>
      </c>
      <c r="P13" s="15">
        <v>45012</v>
      </c>
      <c r="Q13" s="3" t="s">
        <v>89</v>
      </c>
      <c r="R13" s="15">
        <v>45012</v>
      </c>
      <c r="S13" s="3" t="s">
        <v>90</v>
      </c>
      <c r="T13" s="3" t="s">
        <v>34</v>
      </c>
      <c r="U13" s="18" t="s">
        <v>58</v>
      </c>
    </row>
    <row r="14" spans="1:21" x14ac:dyDescent="0.25">
      <c r="A14" s="5" t="s">
        <v>91</v>
      </c>
      <c r="B14" s="1" t="s">
        <v>92</v>
      </c>
      <c r="C14" s="1" t="s">
        <v>53</v>
      </c>
      <c r="D14" s="2" t="str">
        <f t="shared" si="0"/>
        <v>579-0800</v>
      </c>
      <c r="E14" s="2" t="str">
        <f t="shared" si="1"/>
        <v>ELE-PNL-001</v>
      </c>
      <c r="F14" s="2" t="s">
        <v>54</v>
      </c>
      <c r="G14" s="2" t="s">
        <v>46</v>
      </c>
      <c r="H14" s="2" t="str">
        <f>_xlfn.XLOOKUP(Table6[[#This Row],[Description]],[1]Class!$A$4:$A$660,[1]Class!$G$4:$G$660,"",0,1)</f>
        <v>Retain</v>
      </c>
      <c r="I14" s="2" t="s">
        <v>28</v>
      </c>
      <c r="J14" s="1" t="s">
        <v>29</v>
      </c>
      <c r="K14" s="11">
        <v>45511</v>
      </c>
      <c r="L14" s="1" t="s">
        <v>30</v>
      </c>
      <c r="M14" s="1" t="s">
        <v>31</v>
      </c>
      <c r="N14" s="12">
        <v>0.28999999999999998</v>
      </c>
      <c r="O14" s="13">
        <f>TIMEVALUE([1]!Table1[[#This Row],[Malfunction end]])-TIMEVALUE([1]!Table1[[#This Row],[Start Malfn (T)]])</f>
        <v>0.21666666666666662</v>
      </c>
      <c r="P14" s="11">
        <v>45511</v>
      </c>
      <c r="Q14" s="1" t="s">
        <v>93</v>
      </c>
      <c r="R14" s="11">
        <v>45511</v>
      </c>
      <c r="S14" s="1" t="s">
        <v>94</v>
      </c>
      <c r="T14" s="1" t="s">
        <v>34</v>
      </c>
      <c r="U14" s="14" t="s">
        <v>58</v>
      </c>
    </row>
    <row r="15" spans="1:21" x14ac:dyDescent="0.25">
      <c r="A15" s="5" t="s">
        <v>95</v>
      </c>
      <c r="B15" s="3" t="s">
        <v>96</v>
      </c>
      <c r="C15" s="3" t="s">
        <v>97</v>
      </c>
      <c r="D15" s="4" t="str">
        <f t="shared" si="0"/>
        <v>579-0800</v>
      </c>
      <c r="E15" s="4" t="str">
        <f t="shared" si="1"/>
        <v>ELE-PNL-002</v>
      </c>
      <c r="F15" s="4" t="s">
        <v>54</v>
      </c>
      <c r="G15" s="4" t="s">
        <v>46</v>
      </c>
      <c r="H15" s="4" t="str">
        <f>_xlfn.XLOOKUP(Table6[[#This Row],[Description]],[1]Class!$A$4:$A$660,[1]Class!$G$4:$G$660,"",0,1)</f>
        <v>Blockchute</v>
      </c>
      <c r="I15" s="4" t="s">
        <v>28</v>
      </c>
      <c r="J15" s="3" t="s">
        <v>39</v>
      </c>
      <c r="K15" s="15">
        <v>45309</v>
      </c>
      <c r="L15" s="3" t="s">
        <v>30</v>
      </c>
      <c r="M15" s="3" t="s">
        <v>31</v>
      </c>
      <c r="N15" s="16">
        <v>2.57</v>
      </c>
      <c r="O15" s="17">
        <f>TIMEVALUE([1]!Table1[[#This Row],[Malfunction end]])-TIMEVALUE([1]!Table1[[#This Row],[Start Malfn (T)]])</f>
        <v>2.0833333333333315E-2</v>
      </c>
      <c r="P15" s="15">
        <v>45308</v>
      </c>
      <c r="Q15" s="3" t="s">
        <v>98</v>
      </c>
      <c r="R15" s="15">
        <v>45309</v>
      </c>
      <c r="S15" s="3" t="s">
        <v>99</v>
      </c>
      <c r="T15" s="3" t="s">
        <v>34</v>
      </c>
      <c r="U15" s="18" t="s">
        <v>50</v>
      </c>
    </row>
    <row r="16" spans="1:21" x14ac:dyDescent="0.25">
      <c r="A16" s="5" t="s">
        <v>100</v>
      </c>
      <c r="B16" s="1" t="s">
        <v>101</v>
      </c>
      <c r="C16" s="1" t="s">
        <v>97</v>
      </c>
      <c r="D16" s="2" t="str">
        <f t="shared" si="0"/>
        <v>579-0800</v>
      </c>
      <c r="E16" s="2" t="str">
        <f t="shared" si="1"/>
        <v>ELE-PNL-002</v>
      </c>
      <c r="F16" s="2" t="s">
        <v>54</v>
      </c>
      <c r="G16" s="2" t="s">
        <v>46</v>
      </c>
      <c r="H16" s="2" t="str">
        <f>_xlfn.XLOOKUP(Table6[[#This Row],[Description]],[1]Class!$A$4:$A$660,[1]Class!$G$4:$G$660,"",0,1)</f>
        <v>Retain</v>
      </c>
      <c r="I16" s="2" t="s">
        <v>28</v>
      </c>
      <c r="J16" s="1" t="s">
        <v>102</v>
      </c>
      <c r="K16" s="11">
        <v>44748</v>
      </c>
      <c r="L16" s="1" t="s">
        <v>30</v>
      </c>
      <c r="M16" s="1" t="s">
        <v>31</v>
      </c>
      <c r="N16" s="12">
        <v>0.5</v>
      </c>
      <c r="O16" s="13">
        <f>TIMEVALUE([1]!Table1[[#This Row],[Malfunction end]])-TIMEVALUE([1]!Table1[[#This Row],[Start Malfn (T)]])</f>
        <v>2.6388888888888906E-2</v>
      </c>
      <c r="P16" s="11">
        <v>44748</v>
      </c>
      <c r="Q16" s="1" t="s">
        <v>103</v>
      </c>
      <c r="R16" s="11">
        <v>44748</v>
      </c>
      <c r="S16" s="1" t="s">
        <v>104</v>
      </c>
      <c r="T16" s="1" t="s">
        <v>34</v>
      </c>
      <c r="U16" s="14" t="s">
        <v>58</v>
      </c>
    </row>
    <row r="17" spans="1:21" x14ac:dyDescent="0.25">
      <c r="A17" s="5" t="s">
        <v>105</v>
      </c>
      <c r="B17" s="3" t="s">
        <v>106</v>
      </c>
      <c r="C17" s="3" t="s">
        <v>97</v>
      </c>
      <c r="D17" s="4" t="str">
        <f t="shared" si="0"/>
        <v>579-0800</v>
      </c>
      <c r="E17" s="4" t="str">
        <f t="shared" si="1"/>
        <v>ELE-PNL-002</v>
      </c>
      <c r="F17" s="4" t="s">
        <v>54</v>
      </c>
      <c r="G17" s="4" t="s">
        <v>45</v>
      </c>
      <c r="H17" s="4" t="str">
        <f>_xlfn.XLOOKUP(Table6[[#This Row],[Description]],[1]Class!$A$4:$A$660,[1]Class!$G$4:$G$660,"",0,1)</f>
        <v/>
      </c>
      <c r="I17" s="2" t="s">
        <v>28</v>
      </c>
      <c r="J17" s="3" t="s">
        <v>102</v>
      </c>
      <c r="K17" s="15">
        <v>45111</v>
      </c>
      <c r="L17" s="3" t="s">
        <v>30</v>
      </c>
      <c r="M17" s="3" t="s">
        <v>31</v>
      </c>
      <c r="N17" s="16">
        <v>1.37</v>
      </c>
      <c r="O17" s="17">
        <f>TIMEVALUE([1]!Table1[[#This Row],[Malfunction end]])-TIMEVALUE([1]!Table1[[#This Row],[Start Malfn (T)]])</f>
        <v>3.2986111111111049E-2</v>
      </c>
      <c r="P17" s="15">
        <v>45111</v>
      </c>
      <c r="Q17" s="3" t="s">
        <v>107</v>
      </c>
      <c r="R17" s="15">
        <v>45111</v>
      </c>
      <c r="S17" s="3" t="s">
        <v>108</v>
      </c>
      <c r="T17" s="3" t="s">
        <v>34</v>
      </c>
      <c r="U17" s="18" t="s">
        <v>58</v>
      </c>
    </row>
    <row r="18" spans="1:21" x14ac:dyDescent="0.25">
      <c r="A18" s="5" t="s">
        <v>109</v>
      </c>
      <c r="B18" s="1" t="s">
        <v>110</v>
      </c>
      <c r="C18" s="1" t="s">
        <v>97</v>
      </c>
      <c r="D18" s="2" t="str">
        <f t="shared" si="0"/>
        <v>579-0800</v>
      </c>
      <c r="E18" s="2" t="str">
        <f t="shared" si="1"/>
        <v>ELE-PNL-002</v>
      </c>
      <c r="F18" s="2" t="s">
        <v>54</v>
      </c>
      <c r="G18" s="2" t="s">
        <v>46</v>
      </c>
      <c r="H18" s="2" t="str">
        <f>_xlfn.XLOOKUP(Table6[[#This Row],[Description]],[1]Class!$A$4:$A$660,[1]Class!$G$4:$G$660,"",0,1)</f>
        <v>Blockchute</v>
      </c>
      <c r="I18" s="4" t="s">
        <v>28</v>
      </c>
      <c r="J18" s="1" t="s">
        <v>102</v>
      </c>
      <c r="K18" s="11">
        <v>44731</v>
      </c>
      <c r="L18" s="1" t="s">
        <v>30</v>
      </c>
      <c r="M18" s="1" t="s">
        <v>31</v>
      </c>
      <c r="N18" s="12">
        <v>2.52</v>
      </c>
      <c r="O18" s="13">
        <f>TIMEVALUE([1]!Table1[[#This Row],[Malfunction end]])-TIMEVALUE([1]!Table1[[#This Row],[Start Malfn (T)]])</f>
        <v>0.16828703703703701</v>
      </c>
      <c r="P18" s="11">
        <v>44731</v>
      </c>
      <c r="Q18" s="1" t="s">
        <v>111</v>
      </c>
      <c r="R18" s="11">
        <v>44731</v>
      </c>
      <c r="S18" s="1" t="s">
        <v>112</v>
      </c>
      <c r="T18" s="1" t="s">
        <v>34</v>
      </c>
      <c r="U18" s="14" t="s">
        <v>58</v>
      </c>
    </row>
    <row r="19" spans="1:21" x14ac:dyDescent="0.25">
      <c r="A19" s="5" t="s">
        <v>113</v>
      </c>
      <c r="B19" s="3" t="s">
        <v>114</v>
      </c>
      <c r="C19" s="3" t="s">
        <v>115</v>
      </c>
      <c r="D19" s="4" t="str">
        <f t="shared" si="0"/>
        <v>579-0800</v>
      </c>
      <c r="E19" s="4" t="str">
        <f t="shared" si="1"/>
        <v>ELE-SWH-001</v>
      </c>
      <c r="F19" s="4" t="s">
        <v>54</v>
      </c>
      <c r="G19" s="4" t="s">
        <v>46</v>
      </c>
      <c r="H19" s="4" t="str">
        <f>_xlfn.XLOOKUP(Table6[[#This Row],[Description]],[1]Class!$A$4:$A$660,[1]Class!$G$4:$G$660,"",0,1)</f>
        <v>Underspeed</v>
      </c>
      <c r="I19" s="2" t="s">
        <v>28</v>
      </c>
      <c r="J19" s="3" t="s">
        <v>65</v>
      </c>
      <c r="K19" s="15">
        <v>45121</v>
      </c>
      <c r="L19" s="3" t="s">
        <v>30</v>
      </c>
      <c r="M19" s="3" t="s">
        <v>31</v>
      </c>
      <c r="N19" s="16">
        <v>1.2</v>
      </c>
      <c r="O19" s="17">
        <f>TIMEVALUE([1]!Table1[[#This Row],[Malfunction end]])-TIMEVALUE([1]!Table1[[#This Row],[Start Malfn (T)]])</f>
        <v>0.29195601851851849</v>
      </c>
      <c r="P19" s="15">
        <v>45121</v>
      </c>
      <c r="Q19" s="3" t="s">
        <v>116</v>
      </c>
      <c r="R19" s="15">
        <v>45121</v>
      </c>
      <c r="S19" s="3" t="s">
        <v>117</v>
      </c>
      <c r="T19" s="3" t="s">
        <v>34</v>
      </c>
      <c r="U19" s="18" t="s">
        <v>58</v>
      </c>
    </row>
    <row r="20" spans="1:21" x14ac:dyDescent="0.25">
      <c r="A20" s="5" t="s">
        <v>118</v>
      </c>
      <c r="B20" s="1" t="s">
        <v>114</v>
      </c>
      <c r="C20" s="1" t="s">
        <v>115</v>
      </c>
      <c r="D20" s="2" t="str">
        <f t="shared" si="0"/>
        <v>579-0800</v>
      </c>
      <c r="E20" s="2" t="str">
        <f t="shared" si="1"/>
        <v>ELE-SWH-001</v>
      </c>
      <c r="F20" s="2" t="s">
        <v>54</v>
      </c>
      <c r="G20" s="2" t="s">
        <v>46</v>
      </c>
      <c r="H20" s="2" t="str">
        <f>_xlfn.XLOOKUP(Table6[[#This Row],[Description]],[1]Class!$A$4:$A$660,[1]Class!$G$4:$G$660,"",0,1)</f>
        <v>Underspeed</v>
      </c>
      <c r="I20" s="2" t="s">
        <v>28</v>
      </c>
      <c r="J20" s="1" t="s">
        <v>55</v>
      </c>
      <c r="K20" s="11">
        <v>44836</v>
      </c>
      <c r="L20" s="1" t="s">
        <v>30</v>
      </c>
      <c r="M20" s="1" t="s">
        <v>31</v>
      </c>
      <c r="N20" s="12">
        <v>0.23</v>
      </c>
      <c r="O20" s="13">
        <f>TIMEVALUE([1]!Table1[[#This Row],[Malfunction end]])-TIMEVALUE([1]!Table1[[#This Row],[Start Malfn (T)]])</f>
        <v>-0.72952546296296295</v>
      </c>
      <c r="P20" s="11">
        <v>44836</v>
      </c>
      <c r="Q20" s="1" t="s">
        <v>119</v>
      </c>
      <c r="R20" s="11">
        <v>44836</v>
      </c>
      <c r="S20" s="1" t="s">
        <v>120</v>
      </c>
      <c r="T20" s="1" t="s">
        <v>34</v>
      </c>
      <c r="U20" s="14" t="s">
        <v>58</v>
      </c>
    </row>
    <row r="21" spans="1:21" x14ac:dyDescent="0.25">
      <c r="A21" s="5" t="s">
        <v>121</v>
      </c>
      <c r="B21" s="3" t="s">
        <v>122</v>
      </c>
      <c r="C21" s="3" t="s">
        <v>123</v>
      </c>
      <c r="D21" s="4" t="str">
        <f t="shared" si="0"/>
        <v>579-0800</v>
      </c>
      <c r="E21" s="4" t="str">
        <f t="shared" si="1"/>
        <v>INE-TSM-001</v>
      </c>
      <c r="F21" s="4" t="s">
        <v>124</v>
      </c>
      <c r="G21" s="4" t="s">
        <v>46</v>
      </c>
      <c r="H21" s="4" t="str">
        <f>_xlfn.XLOOKUP(Table6[[#This Row],[Description]],[1]Class!$A$4:$A$660,[1]Class!$G$4:$G$660,"",0,1)</f>
        <v>Blockchute</v>
      </c>
      <c r="I21" s="4" t="s">
        <v>28</v>
      </c>
      <c r="J21" s="3" t="s">
        <v>47</v>
      </c>
      <c r="K21" s="15">
        <v>45140</v>
      </c>
      <c r="L21" s="3" t="s">
        <v>30</v>
      </c>
      <c r="M21" s="3" t="s">
        <v>31</v>
      </c>
      <c r="N21" s="16">
        <v>1.04</v>
      </c>
      <c r="O21" s="17">
        <f>TIMEVALUE([1]!Table1[[#This Row],[Malfunction end]])-TIMEVALUE([1]!Table1[[#This Row],[Start Malfn (T)]])</f>
        <v>2.4131944444444442E-2</v>
      </c>
      <c r="P21" s="15">
        <v>45139</v>
      </c>
      <c r="Q21" s="3" t="s">
        <v>125</v>
      </c>
      <c r="R21" s="15">
        <v>45139</v>
      </c>
      <c r="S21" s="3" t="s">
        <v>126</v>
      </c>
      <c r="T21" s="3" t="s">
        <v>34</v>
      </c>
      <c r="U21" s="18" t="s">
        <v>50</v>
      </c>
    </row>
    <row r="22" spans="1:21" x14ac:dyDescent="0.25">
      <c r="A22" s="5" t="s">
        <v>127</v>
      </c>
      <c r="B22" s="1" t="s">
        <v>128</v>
      </c>
      <c r="C22" s="1" t="s">
        <v>123</v>
      </c>
      <c r="D22" s="2" t="str">
        <f t="shared" si="0"/>
        <v>579-0800</v>
      </c>
      <c r="E22" s="2" t="str">
        <f t="shared" si="1"/>
        <v>INE-TSM-001</v>
      </c>
      <c r="F22" s="2" t="s">
        <v>124</v>
      </c>
      <c r="G22" s="2" t="s">
        <v>46</v>
      </c>
      <c r="H22" s="2" t="str">
        <f>_xlfn.XLOOKUP(Table6[[#This Row],[Description]],[1]Class!$A$4:$A$660,[1]Class!$G$4:$G$660,"",0,1)</f>
        <v>Blockchute</v>
      </c>
      <c r="I22" s="2" t="s">
        <v>28</v>
      </c>
      <c r="J22" s="1" t="s">
        <v>29</v>
      </c>
      <c r="K22" s="11">
        <v>45301</v>
      </c>
      <c r="L22" s="1" t="s">
        <v>30</v>
      </c>
      <c r="M22" s="1" t="s">
        <v>31</v>
      </c>
      <c r="N22" s="12">
        <v>5.67</v>
      </c>
      <c r="O22" s="13">
        <f>TIMEVALUE([1]!Table1[[#This Row],[Malfunction end]])-TIMEVALUE([1]!Table1[[#This Row],[Start Malfn (T)]])</f>
        <v>7.7083333333333337E-2</v>
      </c>
      <c r="P22" s="11">
        <v>45301</v>
      </c>
      <c r="Q22" s="1" t="s">
        <v>129</v>
      </c>
      <c r="R22" s="11">
        <v>45302</v>
      </c>
      <c r="S22" s="1" t="s">
        <v>130</v>
      </c>
      <c r="T22" s="1" t="s">
        <v>34</v>
      </c>
      <c r="U22" s="14" t="s">
        <v>50</v>
      </c>
    </row>
    <row r="23" spans="1:21" x14ac:dyDescent="0.25">
      <c r="A23" s="19" t="s">
        <v>131</v>
      </c>
      <c r="B23" s="20" t="s">
        <v>132</v>
      </c>
      <c r="C23" s="20" t="s">
        <v>133</v>
      </c>
      <c r="D23" s="21" t="str">
        <f t="shared" si="0"/>
        <v>579-1000</v>
      </c>
      <c r="E23" t="str">
        <f t="shared" si="1"/>
        <v>BET-001</v>
      </c>
      <c r="F23" t="s">
        <v>26</v>
      </c>
      <c r="G23" t="s">
        <v>26</v>
      </c>
      <c r="H23" t="str">
        <f>_xlfn.XLOOKUP(Table6[[#This Row],[Description]],[1]Class!$A$4:$A$660,[1]Class!$G$4:$G$660,"",0,1)</f>
        <v/>
      </c>
      <c r="I23" s="2" t="s">
        <v>28</v>
      </c>
      <c r="J23" s="20" t="s">
        <v>134</v>
      </c>
      <c r="K23" s="22">
        <v>45395</v>
      </c>
      <c r="L23" s="20" t="s">
        <v>30</v>
      </c>
      <c r="M23" s="20" t="s">
        <v>31</v>
      </c>
      <c r="N23" s="23">
        <v>1.23</v>
      </c>
      <c r="O23" s="24">
        <f>TIMEVALUE([1]!Table1[[#This Row],[Malfunction end]])-TIMEVALUE([1]!Table1[[#This Row],[Start Malfn (T)]])</f>
        <v>0.12865740740740739</v>
      </c>
      <c r="P23" s="22">
        <v>45395</v>
      </c>
      <c r="Q23" s="20" t="s">
        <v>135</v>
      </c>
      <c r="R23" s="22">
        <v>45395</v>
      </c>
      <c r="S23" s="20" t="s">
        <v>136</v>
      </c>
      <c r="T23" s="20" t="s">
        <v>34</v>
      </c>
      <c r="U23" s="20" t="s">
        <v>35</v>
      </c>
    </row>
    <row r="24" spans="1:21" x14ac:dyDescent="0.25">
      <c r="A24" s="19" t="s">
        <v>137</v>
      </c>
      <c r="B24" s="20" t="s">
        <v>110</v>
      </c>
      <c r="C24" s="20" t="s">
        <v>133</v>
      </c>
      <c r="D24" t="str">
        <f t="shared" si="0"/>
        <v>579-1000</v>
      </c>
      <c r="E24" t="str">
        <f t="shared" si="1"/>
        <v>BET-001</v>
      </c>
      <c r="F24" t="s">
        <v>26</v>
      </c>
      <c r="G24" t="s">
        <v>46</v>
      </c>
      <c r="H24" t="str">
        <f>_xlfn.XLOOKUP(Table6[[#This Row],[Description]],[1]Class!$A$4:$A$660,[1]Class!$G$4:$G$660,"",0,1)</f>
        <v>Blockchute</v>
      </c>
      <c r="I24" s="4" t="s">
        <v>28</v>
      </c>
      <c r="J24" s="20" t="s">
        <v>102</v>
      </c>
      <c r="K24" s="22">
        <v>44816</v>
      </c>
      <c r="L24" s="20" t="s">
        <v>30</v>
      </c>
      <c r="M24" s="20" t="s">
        <v>31</v>
      </c>
      <c r="N24" s="23">
        <v>0.5</v>
      </c>
      <c r="O24" s="24">
        <f>TIMEVALUE([1]!Table1[[#This Row],[Malfunction end]])-TIMEVALUE([1]!Table1[[#This Row],[Start Malfn (T)]])</f>
        <v>2.430555555555558E-2</v>
      </c>
      <c r="P24" s="22">
        <v>44816</v>
      </c>
      <c r="Q24" s="20" t="s">
        <v>138</v>
      </c>
      <c r="R24" s="22">
        <v>44816</v>
      </c>
      <c r="S24" s="20" t="s">
        <v>139</v>
      </c>
      <c r="T24" s="20" t="s">
        <v>34</v>
      </c>
      <c r="U24" s="20" t="s">
        <v>35</v>
      </c>
    </row>
    <row r="25" spans="1:21" x14ac:dyDescent="0.25">
      <c r="A25" s="19" t="s">
        <v>140</v>
      </c>
      <c r="B25" s="20" t="s">
        <v>141</v>
      </c>
      <c r="C25" s="20" t="s">
        <v>133</v>
      </c>
      <c r="D25" t="str">
        <f t="shared" si="0"/>
        <v>579-1000</v>
      </c>
      <c r="E25" t="str">
        <f t="shared" si="1"/>
        <v>BET-001</v>
      </c>
      <c r="F25" t="s">
        <v>26</v>
      </c>
      <c r="G25" t="s">
        <v>46</v>
      </c>
      <c r="H25" t="str">
        <f>_xlfn.XLOOKUP(Table6[[#This Row],[Description]],[1]Class!$A$4:$A$660,[1]Class!$G$4:$G$660,"",0,1)</f>
        <v>Fault</v>
      </c>
      <c r="I25" s="2" t="s">
        <v>28</v>
      </c>
      <c r="J25" s="20" t="s">
        <v>142</v>
      </c>
      <c r="K25" s="22">
        <v>44846</v>
      </c>
      <c r="L25" s="20" t="s">
        <v>30</v>
      </c>
      <c r="M25" s="20" t="s">
        <v>31</v>
      </c>
      <c r="N25" s="23">
        <v>1.1100000000000001</v>
      </c>
      <c r="O25" s="24">
        <f>TIMEVALUE([1]!Table1[[#This Row],[Malfunction end]])-TIMEVALUE([1]!Table1[[#This Row],[Start Malfn (T)]])</f>
        <v>7.6076388888888791E-2</v>
      </c>
      <c r="P25" s="22">
        <v>44845</v>
      </c>
      <c r="Q25" s="20" t="s">
        <v>143</v>
      </c>
      <c r="R25" s="22">
        <v>44846</v>
      </c>
      <c r="S25" s="20" t="s">
        <v>144</v>
      </c>
      <c r="T25" s="20" t="s">
        <v>34</v>
      </c>
      <c r="U25" s="20" t="s">
        <v>35</v>
      </c>
    </row>
    <row r="26" spans="1:21" x14ac:dyDescent="0.25">
      <c r="A26" s="19" t="s">
        <v>145</v>
      </c>
      <c r="B26" s="20" t="s">
        <v>7</v>
      </c>
      <c r="C26" s="20" t="s">
        <v>133</v>
      </c>
      <c r="D26" t="str">
        <f t="shared" si="0"/>
        <v>579-1000</v>
      </c>
      <c r="E26" t="str">
        <f t="shared" si="1"/>
        <v>BET-001</v>
      </c>
      <c r="F26" t="s">
        <v>26</v>
      </c>
      <c r="G26" t="s">
        <v>146</v>
      </c>
      <c r="H26" t="str">
        <f>_xlfn.XLOOKUP(Table6[[#This Row],[Description]],[1]Class!$A$4:$A$660,[1]Class!$G$4:$G$660,"",0,1)</f>
        <v>Underspeed</v>
      </c>
      <c r="I26" s="2" t="s">
        <v>28</v>
      </c>
      <c r="J26" s="20" t="s">
        <v>39</v>
      </c>
      <c r="K26" s="22">
        <v>44885</v>
      </c>
      <c r="L26" s="20" t="s">
        <v>30</v>
      </c>
      <c r="M26" s="20" t="s">
        <v>31</v>
      </c>
      <c r="N26" s="23">
        <v>0.53</v>
      </c>
      <c r="O26" s="24">
        <f>TIMEVALUE([1]!Table1[[#This Row],[Malfunction end]])-TIMEVALUE([1]!Table1[[#This Row],[Start Malfn (T)]])</f>
        <v>0.21875</v>
      </c>
      <c r="P26" s="22">
        <v>44885</v>
      </c>
      <c r="Q26" s="20" t="s">
        <v>147</v>
      </c>
      <c r="R26" s="22">
        <v>44885</v>
      </c>
      <c r="S26" s="20" t="s">
        <v>148</v>
      </c>
      <c r="T26" s="20" t="s">
        <v>34</v>
      </c>
      <c r="U26" s="20" t="s">
        <v>35</v>
      </c>
    </row>
    <row r="27" spans="1:21" x14ac:dyDescent="0.25">
      <c r="A27" s="19" t="s">
        <v>149</v>
      </c>
      <c r="B27" s="20" t="s">
        <v>150</v>
      </c>
      <c r="C27" s="20" t="s">
        <v>133</v>
      </c>
      <c r="D27" t="str">
        <f t="shared" si="0"/>
        <v>579-1000</v>
      </c>
      <c r="E27" t="str">
        <f t="shared" si="1"/>
        <v>BET-001</v>
      </c>
      <c r="F27" t="s">
        <v>26</v>
      </c>
      <c r="G27" t="s">
        <v>146</v>
      </c>
      <c r="H27" t="str">
        <f>_xlfn.XLOOKUP(Table6[[#This Row],[Description]],[1]Class!$A$4:$A$660,[1]Class!$G$4:$G$660,"",0,1)</f>
        <v>Underspeed</v>
      </c>
      <c r="I27" s="4" t="s">
        <v>28</v>
      </c>
      <c r="J27" s="20" t="s">
        <v>102</v>
      </c>
      <c r="K27" s="22">
        <v>44848</v>
      </c>
      <c r="L27" s="20" t="s">
        <v>30</v>
      </c>
      <c r="M27" s="20" t="s">
        <v>31</v>
      </c>
      <c r="N27" s="23">
        <v>0.5</v>
      </c>
      <c r="O27" s="24">
        <f>TIMEVALUE([1]!Table1[[#This Row],[Malfunction end]])-TIMEVALUE([1]!Table1[[#This Row],[Start Malfn (T)]])</f>
        <v>1.8055555555555491E-2</v>
      </c>
      <c r="P27" s="22">
        <v>44847</v>
      </c>
      <c r="Q27" s="20" t="s">
        <v>151</v>
      </c>
      <c r="R27" s="22">
        <v>44847</v>
      </c>
      <c r="S27" s="20" t="s">
        <v>152</v>
      </c>
      <c r="T27" s="20" t="s">
        <v>34</v>
      </c>
      <c r="U27" s="20" t="s">
        <v>35</v>
      </c>
    </row>
    <row r="28" spans="1:21" x14ac:dyDescent="0.25">
      <c r="A28" s="19" t="s">
        <v>153</v>
      </c>
      <c r="B28" s="20" t="s">
        <v>154</v>
      </c>
      <c r="C28" s="20" t="s">
        <v>133</v>
      </c>
      <c r="D28" t="str">
        <f t="shared" si="0"/>
        <v>579-1000</v>
      </c>
      <c r="E28" t="str">
        <f t="shared" si="1"/>
        <v>BET-001</v>
      </c>
      <c r="F28" t="s">
        <v>26</v>
      </c>
      <c r="G28" t="s">
        <v>27</v>
      </c>
      <c r="H28" t="str">
        <f>_xlfn.XLOOKUP(Table6[[#This Row],[Description]],[1]Class!$A$4:$A$660,[1]Class!$G$4:$G$660,"",0,1)</f>
        <v>Alignment</v>
      </c>
      <c r="I28" s="2" t="s">
        <v>28</v>
      </c>
      <c r="J28" s="20" t="s">
        <v>47</v>
      </c>
      <c r="K28" s="22">
        <v>45226</v>
      </c>
      <c r="L28" s="20" t="s">
        <v>30</v>
      </c>
      <c r="M28" s="20" t="s">
        <v>31</v>
      </c>
      <c r="N28" s="23">
        <v>4.5999999999999996</v>
      </c>
      <c r="O28" s="24">
        <f>TIMEVALUE([1]!Table1[[#This Row],[Malfunction end]])-TIMEVALUE([1]!Table1[[#This Row],[Start Malfn (T)]])</f>
        <v>1.1388888888888893E-2</v>
      </c>
      <c r="P28" s="22">
        <v>45226</v>
      </c>
      <c r="Q28" s="20" t="s">
        <v>155</v>
      </c>
      <c r="R28" s="22">
        <v>45226</v>
      </c>
      <c r="S28" s="20" t="s">
        <v>156</v>
      </c>
      <c r="T28" s="20" t="s">
        <v>34</v>
      </c>
      <c r="U28" s="20" t="s">
        <v>35</v>
      </c>
    </row>
    <row r="29" spans="1:21" x14ac:dyDescent="0.25">
      <c r="A29" s="19" t="s">
        <v>157</v>
      </c>
      <c r="B29" s="20" t="s">
        <v>158</v>
      </c>
      <c r="C29" s="20" t="s">
        <v>133</v>
      </c>
      <c r="D29" t="str">
        <f t="shared" si="0"/>
        <v>579-1000</v>
      </c>
      <c r="E29" t="str">
        <f t="shared" si="1"/>
        <v>BET-001</v>
      </c>
      <c r="F29" t="s">
        <v>26</v>
      </c>
      <c r="G29" t="s">
        <v>159</v>
      </c>
      <c r="H29" t="str">
        <f>_xlfn.XLOOKUP(Table6[[#This Row],[Description]],[1]Class!$A$4:$A$660,[1]Class!$G$4:$G$660,"",0,1)</f>
        <v/>
      </c>
      <c r="I29" s="2" t="s">
        <v>28</v>
      </c>
      <c r="J29" s="20" t="s">
        <v>47</v>
      </c>
      <c r="K29" s="22">
        <v>44682</v>
      </c>
      <c r="L29" s="20" t="s">
        <v>30</v>
      </c>
      <c r="M29" s="20" t="s">
        <v>31</v>
      </c>
      <c r="N29" s="23">
        <v>5.73</v>
      </c>
      <c r="O29" s="24">
        <f>TIMEVALUE([1]!Table1[[#This Row],[Malfunction end]])-TIMEVALUE([1]!Table1[[#This Row],[Start Malfn (T)]])</f>
        <v>2.5694444444444464E-2</v>
      </c>
      <c r="P29" s="22">
        <v>44682</v>
      </c>
      <c r="Q29" s="20" t="s">
        <v>160</v>
      </c>
      <c r="R29" s="22">
        <v>44683</v>
      </c>
      <c r="S29" s="20" t="s">
        <v>161</v>
      </c>
      <c r="T29" s="20" t="s">
        <v>34</v>
      </c>
      <c r="U29" s="20" t="s">
        <v>35</v>
      </c>
    </row>
    <row r="30" spans="1:21" x14ac:dyDescent="0.25">
      <c r="A30" s="19" t="s">
        <v>162</v>
      </c>
      <c r="B30" s="20" t="s">
        <v>163</v>
      </c>
      <c r="C30" s="20" t="s">
        <v>133</v>
      </c>
      <c r="D30" t="str">
        <f t="shared" si="0"/>
        <v>579-1000</v>
      </c>
      <c r="E30" t="str">
        <f t="shared" si="1"/>
        <v>BET-001</v>
      </c>
      <c r="F30" t="s">
        <v>26</v>
      </c>
      <c r="G30" t="s">
        <v>38</v>
      </c>
      <c r="H30" t="str">
        <f>_xlfn.XLOOKUP(Table6[[#This Row],[Description]],[1]Class!$A$4:$A$660,[1]Class!$G$4:$G$660,"",0,1)</f>
        <v/>
      </c>
      <c r="I30" s="4" t="s">
        <v>28</v>
      </c>
      <c r="J30" s="20" t="s">
        <v>164</v>
      </c>
      <c r="K30" s="22">
        <v>45206</v>
      </c>
      <c r="L30" s="20" t="s">
        <v>30</v>
      </c>
      <c r="M30" s="20" t="s">
        <v>31</v>
      </c>
      <c r="N30" s="23">
        <v>7</v>
      </c>
      <c r="O30" s="24">
        <f>TIMEVALUE([1]!Table1[[#This Row],[Malfunction end]])-TIMEVALUE([1]!Table1[[#This Row],[Start Malfn (T)]])</f>
        <v>1.4155092592592592E-2</v>
      </c>
      <c r="P30" s="22">
        <v>45205</v>
      </c>
      <c r="Q30" s="20" t="s">
        <v>165</v>
      </c>
      <c r="R30" s="22">
        <v>45206</v>
      </c>
      <c r="S30" s="20" t="s">
        <v>166</v>
      </c>
      <c r="T30" s="20" t="s">
        <v>34</v>
      </c>
      <c r="U30" s="20" t="s">
        <v>35</v>
      </c>
    </row>
    <row r="31" spans="1:21" x14ac:dyDescent="0.25">
      <c r="A31" s="19" t="s">
        <v>167</v>
      </c>
      <c r="B31" s="20" t="s">
        <v>168</v>
      </c>
      <c r="C31" s="20" t="s">
        <v>169</v>
      </c>
      <c r="D31" t="str">
        <f t="shared" si="0"/>
        <v>579-1000</v>
      </c>
      <c r="E31" t="str">
        <f t="shared" si="1"/>
        <v>CHU-001</v>
      </c>
      <c r="F31" t="s">
        <v>45</v>
      </c>
      <c r="G31" t="s">
        <v>46</v>
      </c>
      <c r="H31" t="str">
        <f>_xlfn.XLOOKUP(Table6[[#This Row],[Description]],[1]Class!$A$4:$A$660,[1]Class!$G$4:$G$660,"",0,1)</f>
        <v>Blockchute</v>
      </c>
      <c r="I31" s="2" t="s">
        <v>28</v>
      </c>
      <c r="J31" s="20" t="s">
        <v>170</v>
      </c>
      <c r="K31" s="22">
        <v>45460</v>
      </c>
      <c r="L31" s="20" t="s">
        <v>171</v>
      </c>
      <c r="M31" s="20" t="s">
        <v>31</v>
      </c>
      <c r="N31" s="23">
        <v>0.47</v>
      </c>
      <c r="O31" s="24">
        <f>TIMEVALUE([1]!Table1[[#This Row],[Malfunction end]])-TIMEVALUE([1]!Table1[[#This Row],[Start Malfn (T)]])</f>
        <v>6.9444444444444198E-3</v>
      </c>
      <c r="P31" s="22">
        <v>45460</v>
      </c>
      <c r="Q31" s="20" t="s">
        <v>172</v>
      </c>
      <c r="R31" s="22">
        <v>45460</v>
      </c>
      <c r="S31" s="20" t="s">
        <v>173</v>
      </c>
      <c r="T31" s="20" t="s">
        <v>34</v>
      </c>
      <c r="U31" s="20" t="s">
        <v>35</v>
      </c>
    </row>
    <row r="32" spans="1:21" x14ac:dyDescent="0.25">
      <c r="A32" s="19" t="s">
        <v>174</v>
      </c>
      <c r="B32" s="20" t="s">
        <v>175</v>
      </c>
      <c r="C32" s="20" t="s">
        <v>169</v>
      </c>
      <c r="D32" t="str">
        <f t="shared" si="0"/>
        <v>579-1000</v>
      </c>
      <c r="E32" t="str">
        <f t="shared" si="1"/>
        <v>CHU-001</v>
      </c>
      <c r="F32" t="s">
        <v>45</v>
      </c>
      <c r="G32" t="s">
        <v>45</v>
      </c>
      <c r="H32" t="str">
        <f>_xlfn.XLOOKUP(Table6[[#This Row],[Description]],[1]Class!$A$4:$A$660,[1]Class!$G$4:$G$660,"",0,1)</f>
        <v/>
      </c>
      <c r="I32" s="2" t="s">
        <v>28</v>
      </c>
      <c r="J32" s="20" t="s">
        <v>55</v>
      </c>
      <c r="K32" s="22">
        <v>45524</v>
      </c>
      <c r="L32" s="20" t="s">
        <v>171</v>
      </c>
      <c r="M32" s="20" t="s">
        <v>31</v>
      </c>
      <c r="N32" s="23">
        <v>0.23</v>
      </c>
      <c r="O32" s="24">
        <f>TIMEVALUE([1]!Table1[[#This Row],[Malfunction end]])-TIMEVALUE([1]!Table1[[#This Row],[Start Malfn (T)]])</f>
        <v>6.9444444444444198E-3</v>
      </c>
      <c r="P32" s="22">
        <v>45524</v>
      </c>
      <c r="Q32" s="20" t="s">
        <v>176</v>
      </c>
      <c r="R32" s="22">
        <v>45524</v>
      </c>
      <c r="S32" s="20" t="s">
        <v>177</v>
      </c>
      <c r="T32" s="20" t="s">
        <v>34</v>
      </c>
      <c r="U32" s="20" t="s">
        <v>35</v>
      </c>
    </row>
    <row r="33" spans="1:21" x14ac:dyDescent="0.25">
      <c r="A33" s="19" t="s">
        <v>178</v>
      </c>
      <c r="B33" s="20" t="s">
        <v>179</v>
      </c>
      <c r="C33" s="20" t="s">
        <v>180</v>
      </c>
      <c r="D33" t="str">
        <f t="shared" si="0"/>
        <v>579-1000</v>
      </c>
      <c r="E33" t="str">
        <f t="shared" si="1"/>
        <v>ELE-MOT-001</v>
      </c>
      <c r="F33" t="s">
        <v>54</v>
      </c>
      <c r="G33" t="s">
        <v>54</v>
      </c>
      <c r="H33" t="str">
        <f>_xlfn.XLOOKUP(Table6[[#This Row],[Description]],[1]Class!$A$4:$A$660,[1]Class!$G$4:$G$660,"",0,1)</f>
        <v/>
      </c>
      <c r="I33" s="4" t="s">
        <v>28</v>
      </c>
      <c r="J33" s="20" t="s">
        <v>181</v>
      </c>
      <c r="K33" s="22">
        <v>44413</v>
      </c>
      <c r="L33" s="20" t="s">
        <v>30</v>
      </c>
      <c r="M33" s="20" t="s">
        <v>31</v>
      </c>
      <c r="N33" s="23">
        <v>0.35</v>
      </c>
      <c r="O33" s="24">
        <f>TIMEVALUE([1]!Table1[[#This Row],[Malfunction end]])-TIMEVALUE([1]!Table1[[#This Row],[Start Malfn (T)]])</f>
        <v>9.0277777777777457E-3</v>
      </c>
      <c r="P33" s="22">
        <v>44413</v>
      </c>
      <c r="Q33" s="20" t="s">
        <v>182</v>
      </c>
      <c r="R33" s="22">
        <v>44413</v>
      </c>
      <c r="S33" s="20" t="s">
        <v>183</v>
      </c>
      <c r="T33" s="20" t="s">
        <v>34</v>
      </c>
      <c r="U33" s="20" t="s">
        <v>58</v>
      </c>
    </row>
    <row r="34" spans="1:21" x14ac:dyDescent="0.25">
      <c r="A34" s="19" t="s">
        <v>184</v>
      </c>
      <c r="B34" s="20" t="s">
        <v>185</v>
      </c>
      <c r="C34" s="20" t="s">
        <v>180</v>
      </c>
      <c r="D34" t="str">
        <f t="shared" si="0"/>
        <v>579-1000</v>
      </c>
      <c r="E34" t="str">
        <f t="shared" si="1"/>
        <v>ELE-MOT-001</v>
      </c>
      <c r="F34" t="s">
        <v>54</v>
      </c>
      <c r="G34" t="s">
        <v>54</v>
      </c>
      <c r="H34" t="str">
        <f>_xlfn.XLOOKUP(Table6[[#This Row],[Description]],[1]Class!$A$4:$A$660,[1]Class!$G$4:$G$660,"",0,1)</f>
        <v/>
      </c>
      <c r="I34" s="2" t="s">
        <v>28</v>
      </c>
      <c r="J34" s="20" t="s">
        <v>47</v>
      </c>
      <c r="K34" s="22">
        <v>44462</v>
      </c>
      <c r="L34" s="20" t="s">
        <v>30</v>
      </c>
      <c r="M34" s="20" t="s">
        <v>31</v>
      </c>
      <c r="N34" s="23">
        <v>1</v>
      </c>
      <c r="O34" s="24">
        <f>TIMEVALUE([1]!Table1[[#This Row],[Malfunction end]])-TIMEVALUE([1]!Table1[[#This Row],[Start Malfn (T)]])</f>
        <v>1.6388888888888897E-2</v>
      </c>
      <c r="P34" s="22">
        <v>44462</v>
      </c>
      <c r="Q34" s="20" t="s">
        <v>186</v>
      </c>
      <c r="R34" s="22">
        <v>44462</v>
      </c>
      <c r="S34" s="20" t="s">
        <v>187</v>
      </c>
      <c r="T34" s="20" t="s">
        <v>34</v>
      </c>
      <c r="U34" s="20" t="s">
        <v>58</v>
      </c>
    </row>
    <row r="35" spans="1:21" x14ac:dyDescent="0.25">
      <c r="A35" s="19" t="s">
        <v>188</v>
      </c>
      <c r="B35" s="20" t="s">
        <v>189</v>
      </c>
      <c r="C35" s="20" t="s">
        <v>190</v>
      </c>
      <c r="D35" t="str">
        <f t="shared" si="0"/>
        <v>579-1000</v>
      </c>
      <c r="E35" t="str">
        <f t="shared" si="1"/>
        <v>ELE-PNL-001</v>
      </c>
      <c r="F35" t="s">
        <v>54</v>
      </c>
      <c r="G35" t="s">
        <v>46</v>
      </c>
      <c r="H35" t="str">
        <f>_xlfn.XLOOKUP(Table6[[#This Row],[Description]],[1]Class!$A$4:$A$660,[1]Class!$G$4:$G$660,"",0,1)</f>
        <v>Interlock</v>
      </c>
      <c r="I35" s="2" t="s">
        <v>28</v>
      </c>
      <c r="J35" s="20" t="s">
        <v>47</v>
      </c>
      <c r="K35" s="22">
        <v>44601</v>
      </c>
      <c r="L35" s="20" t="s">
        <v>30</v>
      </c>
      <c r="M35" s="20" t="s">
        <v>31</v>
      </c>
      <c r="N35" s="23">
        <v>0.68</v>
      </c>
      <c r="O35" s="24">
        <f>TIMEVALUE([1]!Table1[[#This Row],[Malfunction end]])-TIMEVALUE([1]!Table1[[#This Row],[Start Malfn (T)]])</f>
        <v>7.8935185185184942E-3</v>
      </c>
      <c r="P35" s="22">
        <v>44601</v>
      </c>
      <c r="Q35" s="20" t="s">
        <v>191</v>
      </c>
      <c r="R35" s="22">
        <v>44601</v>
      </c>
      <c r="S35" s="20" t="s">
        <v>192</v>
      </c>
      <c r="T35" s="20" t="s">
        <v>34</v>
      </c>
      <c r="U35" s="20" t="s">
        <v>58</v>
      </c>
    </row>
    <row r="36" spans="1:21" x14ac:dyDescent="0.25">
      <c r="A36" s="19" t="s">
        <v>193</v>
      </c>
      <c r="B36" s="20" t="s">
        <v>194</v>
      </c>
      <c r="C36" s="20" t="s">
        <v>190</v>
      </c>
      <c r="D36" t="str">
        <f t="shared" si="0"/>
        <v>579-1000</v>
      </c>
      <c r="E36" t="str">
        <f t="shared" si="1"/>
        <v>ELE-PNL-001</v>
      </c>
      <c r="F36" t="s">
        <v>54</v>
      </c>
      <c r="G36" t="s">
        <v>46</v>
      </c>
      <c r="H36" t="str">
        <f>_xlfn.XLOOKUP(Table6[[#This Row],[Description]],[1]Class!$A$4:$A$660,[1]Class!$G$4:$G$660,"",0,1)</f>
        <v>Scale</v>
      </c>
      <c r="I36" s="4" t="s">
        <v>28</v>
      </c>
      <c r="J36" s="20" t="s">
        <v>47</v>
      </c>
      <c r="K36" s="22">
        <v>44499</v>
      </c>
      <c r="L36" s="20" t="s">
        <v>30</v>
      </c>
      <c r="M36" s="20" t="s">
        <v>31</v>
      </c>
      <c r="N36" s="23">
        <v>0.54</v>
      </c>
      <c r="O36" s="24">
        <f>TIMEVALUE([1]!Table1[[#This Row],[Malfunction end]])-TIMEVALUE([1]!Table1[[#This Row],[Start Malfn (T)]])</f>
        <v>1.7083333333333339E-2</v>
      </c>
      <c r="P36" s="22">
        <v>44499</v>
      </c>
      <c r="Q36" s="20" t="s">
        <v>195</v>
      </c>
      <c r="R36" s="22">
        <v>44499</v>
      </c>
      <c r="S36" s="20" t="s">
        <v>196</v>
      </c>
      <c r="T36" s="20" t="s">
        <v>34</v>
      </c>
      <c r="U36" s="20" t="s">
        <v>58</v>
      </c>
    </row>
    <row r="37" spans="1:21" x14ac:dyDescent="0.25">
      <c r="A37" s="19" t="s">
        <v>197</v>
      </c>
      <c r="B37" s="20" t="s">
        <v>198</v>
      </c>
      <c r="C37" s="20" t="s">
        <v>190</v>
      </c>
      <c r="D37" t="str">
        <f t="shared" si="0"/>
        <v>579-1000</v>
      </c>
      <c r="E37" t="str">
        <f t="shared" si="1"/>
        <v>ELE-PNL-001</v>
      </c>
      <c r="F37" t="s">
        <v>54</v>
      </c>
      <c r="G37" t="s">
        <v>46</v>
      </c>
      <c r="H37" t="str">
        <f>_xlfn.XLOOKUP(Table6[[#This Row],[Description]],[1]Class!$A$4:$A$660,[1]Class!$G$4:$G$660,"",0,1)</f>
        <v>Fault</v>
      </c>
      <c r="I37" s="2" t="s">
        <v>28</v>
      </c>
      <c r="J37" s="20" t="s">
        <v>55</v>
      </c>
      <c r="K37" s="22">
        <v>45250</v>
      </c>
      <c r="L37" s="20" t="s">
        <v>30</v>
      </c>
      <c r="M37" s="20" t="s">
        <v>31</v>
      </c>
      <c r="N37" s="23">
        <v>2</v>
      </c>
      <c r="O37" s="24">
        <f>TIMEVALUE([1]!Table1[[#This Row],[Malfunction end]])-TIMEVALUE([1]!Table1[[#This Row],[Start Malfn (T)]])</f>
        <v>2.0381944444444522E-2</v>
      </c>
      <c r="P37" s="22">
        <v>45250</v>
      </c>
      <c r="Q37" s="20" t="s">
        <v>199</v>
      </c>
      <c r="R37" s="22">
        <v>45250</v>
      </c>
      <c r="S37" s="20" t="s">
        <v>200</v>
      </c>
      <c r="T37" s="20" t="s">
        <v>34</v>
      </c>
      <c r="U37" s="20" t="s">
        <v>58</v>
      </c>
    </row>
    <row r="38" spans="1:21" x14ac:dyDescent="0.25">
      <c r="A38" s="19" t="s">
        <v>201</v>
      </c>
      <c r="B38" s="20" t="s">
        <v>202</v>
      </c>
      <c r="C38" s="20" t="s">
        <v>190</v>
      </c>
      <c r="D38" t="str">
        <f t="shared" si="0"/>
        <v>579-1000</v>
      </c>
      <c r="E38" t="str">
        <f t="shared" si="1"/>
        <v>ELE-PNL-001</v>
      </c>
      <c r="F38" t="s">
        <v>54</v>
      </c>
      <c r="G38" t="s">
        <v>46</v>
      </c>
      <c r="H38" t="str">
        <f>_xlfn.XLOOKUP(Table6[[#This Row],[Description]],[1]Class!$A$4:$A$660,[1]Class!$G$4:$G$660,"",0,1)</f>
        <v>Retain</v>
      </c>
      <c r="I38" s="2" t="s">
        <v>28</v>
      </c>
      <c r="J38" s="20" t="s">
        <v>47</v>
      </c>
      <c r="K38" s="22">
        <v>44583</v>
      </c>
      <c r="L38" s="20" t="s">
        <v>30</v>
      </c>
      <c r="M38" s="20" t="s">
        <v>31</v>
      </c>
      <c r="N38" s="23">
        <v>0.65</v>
      </c>
      <c r="O38" s="24">
        <f>TIMEVALUE([1]!Table1[[#This Row],[Malfunction end]])-TIMEVALUE([1]!Table1[[#This Row],[Start Malfn (T)]])</f>
        <v>2.5289351851851771E-2</v>
      </c>
      <c r="P38" s="22">
        <v>44583</v>
      </c>
      <c r="Q38" s="20" t="s">
        <v>203</v>
      </c>
      <c r="R38" s="22">
        <v>44583</v>
      </c>
      <c r="S38" s="20" t="s">
        <v>204</v>
      </c>
      <c r="T38" s="20" t="s">
        <v>34</v>
      </c>
      <c r="U38" s="20" t="s">
        <v>58</v>
      </c>
    </row>
    <row r="39" spans="1:21" x14ac:dyDescent="0.25">
      <c r="A39" s="19" t="s">
        <v>205</v>
      </c>
      <c r="B39" s="20" t="s">
        <v>206</v>
      </c>
      <c r="C39" s="20" t="s">
        <v>190</v>
      </c>
      <c r="D39" t="str">
        <f t="shared" si="0"/>
        <v>579-1000</v>
      </c>
      <c r="E39" t="str">
        <f t="shared" si="1"/>
        <v>ELE-PNL-001</v>
      </c>
      <c r="F39" t="s">
        <v>54</v>
      </c>
      <c r="G39" t="s">
        <v>46</v>
      </c>
      <c r="H39" t="str">
        <f>_xlfn.XLOOKUP(Table6[[#This Row],[Description]],[1]Class!$A$4:$A$660,[1]Class!$G$4:$G$660,"",0,1)</f>
        <v>CVO</v>
      </c>
      <c r="I39" s="4" t="s">
        <v>28</v>
      </c>
      <c r="J39" s="20" t="s">
        <v>29</v>
      </c>
      <c r="K39" s="22">
        <v>44447</v>
      </c>
      <c r="L39" s="20" t="s">
        <v>30</v>
      </c>
      <c r="M39" s="20" t="s">
        <v>31</v>
      </c>
      <c r="N39" s="23">
        <v>0.57999999999999996</v>
      </c>
      <c r="O39" s="24">
        <f>TIMEVALUE([1]!Table1[[#This Row],[Malfunction end]])-TIMEVALUE([1]!Table1[[#This Row],[Start Malfn (T)]])</f>
        <v>3.5162037037037019E-2</v>
      </c>
      <c r="P39" s="22">
        <v>44447</v>
      </c>
      <c r="Q39" s="20" t="s">
        <v>207</v>
      </c>
      <c r="R39" s="22">
        <v>44447</v>
      </c>
      <c r="S39" s="20" t="s">
        <v>208</v>
      </c>
      <c r="T39" s="20" t="s">
        <v>34</v>
      </c>
      <c r="U39" s="20" t="s">
        <v>58</v>
      </c>
    </row>
    <row r="40" spans="1:21" x14ac:dyDescent="0.25">
      <c r="A40" s="19" t="s">
        <v>209</v>
      </c>
      <c r="B40" s="20" t="s">
        <v>210</v>
      </c>
      <c r="C40" s="20" t="s">
        <v>190</v>
      </c>
      <c r="D40" t="str">
        <f t="shared" si="0"/>
        <v>579-1000</v>
      </c>
      <c r="E40" t="str">
        <f t="shared" si="1"/>
        <v>ELE-PNL-001</v>
      </c>
      <c r="F40" t="s">
        <v>54</v>
      </c>
      <c r="G40" t="s">
        <v>46</v>
      </c>
      <c r="H40" t="str">
        <f>_xlfn.XLOOKUP(Table6[[#This Row],[Description]],[1]Class!$A$4:$A$660,[1]Class!$G$4:$G$660,"",0,1)</f>
        <v>Safety</v>
      </c>
      <c r="I40" s="2" t="s">
        <v>28</v>
      </c>
      <c r="J40" s="20" t="s">
        <v>55</v>
      </c>
      <c r="K40" s="22">
        <v>44891</v>
      </c>
      <c r="L40" s="20" t="s">
        <v>30</v>
      </c>
      <c r="M40" s="20" t="s">
        <v>31</v>
      </c>
      <c r="N40" s="23">
        <v>2.89</v>
      </c>
      <c r="O40" s="24">
        <f>TIMEVALUE([1]!Table1[[#This Row],[Malfunction end]])-TIMEVALUE([1]!Table1[[#This Row],[Start Malfn (T)]])</f>
        <v>2.8321759259259283E-2</v>
      </c>
      <c r="P40" s="22">
        <v>44891</v>
      </c>
      <c r="Q40" s="20" t="s">
        <v>211</v>
      </c>
      <c r="R40" s="22">
        <v>44891</v>
      </c>
      <c r="S40" s="20" t="s">
        <v>212</v>
      </c>
      <c r="T40" s="20" t="s">
        <v>34</v>
      </c>
      <c r="U40" s="20" t="s">
        <v>58</v>
      </c>
    </row>
    <row r="41" spans="1:21" x14ac:dyDescent="0.25">
      <c r="A41" s="19" t="s">
        <v>213</v>
      </c>
      <c r="B41" s="20" t="s">
        <v>214</v>
      </c>
      <c r="C41" s="20" t="s">
        <v>190</v>
      </c>
      <c r="D41" t="str">
        <f t="shared" si="0"/>
        <v>579-1000</v>
      </c>
      <c r="E41" t="str">
        <f t="shared" si="1"/>
        <v>ELE-PNL-001</v>
      </c>
      <c r="F41" t="s">
        <v>54</v>
      </c>
      <c r="G41" t="s">
        <v>46</v>
      </c>
      <c r="H41" t="str">
        <f>_xlfn.XLOOKUP(Table6[[#This Row],[Description]],[1]Class!$A$4:$A$660,[1]Class!$G$4:$G$660,"",0,1)</f>
        <v>Alarm</v>
      </c>
      <c r="I41" s="2" t="s">
        <v>28</v>
      </c>
      <c r="J41" s="20" t="s">
        <v>215</v>
      </c>
      <c r="K41" s="22">
        <v>44261</v>
      </c>
      <c r="L41" s="20" t="s">
        <v>30</v>
      </c>
      <c r="M41" s="20" t="s">
        <v>31</v>
      </c>
      <c r="N41" s="23">
        <v>0.34</v>
      </c>
      <c r="O41" s="24">
        <f>TIMEVALUE([1]!Table1[[#This Row],[Malfunction end]])-TIMEVALUE([1]!Table1[[#This Row],[Start Malfn (T)]])</f>
        <v>0.19444444444444442</v>
      </c>
      <c r="P41" s="22">
        <v>44261</v>
      </c>
      <c r="Q41" s="20" t="s">
        <v>216</v>
      </c>
      <c r="R41" s="22">
        <v>44261</v>
      </c>
      <c r="S41" s="20" t="s">
        <v>217</v>
      </c>
      <c r="T41" s="20" t="s">
        <v>34</v>
      </c>
      <c r="U41" s="20" t="s">
        <v>58</v>
      </c>
    </row>
    <row r="42" spans="1:21" x14ac:dyDescent="0.25">
      <c r="A42" s="19" t="s">
        <v>218</v>
      </c>
      <c r="B42" s="20" t="s">
        <v>219</v>
      </c>
      <c r="C42" s="20" t="s">
        <v>190</v>
      </c>
      <c r="D42" t="str">
        <f t="shared" si="0"/>
        <v>579-1000</v>
      </c>
      <c r="E42" t="str">
        <f t="shared" si="1"/>
        <v>ELE-PNL-001</v>
      </c>
      <c r="F42" t="s">
        <v>54</v>
      </c>
      <c r="G42" t="s">
        <v>46</v>
      </c>
      <c r="H42" t="str">
        <f>_xlfn.XLOOKUP(Table6[[#This Row],[Description]],[1]Class!$A$4:$A$660,[1]Class!$G$4:$G$660,"",0,1)</f>
        <v>Safety</v>
      </c>
      <c r="I42" s="4" t="s">
        <v>28</v>
      </c>
      <c r="J42" s="20" t="s">
        <v>29</v>
      </c>
      <c r="K42" s="22">
        <v>45013</v>
      </c>
      <c r="L42" s="20" t="s">
        <v>30</v>
      </c>
      <c r="M42" s="20" t="s">
        <v>31</v>
      </c>
      <c r="N42" s="23">
        <v>1.5</v>
      </c>
      <c r="O42" s="24">
        <f>TIMEVALUE([1]!Table1[[#This Row],[Malfunction end]])-TIMEVALUE([1]!Table1[[#This Row],[Start Malfn (T)]])</f>
        <v>1.7164351851851889E-2</v>
      </c>
      <c r="P42" s="22">
        <v>45013</v>
      </c>
      <c r="Q42" s="20" t="s">
        <v>220</v>
      </c>
      <c r="R42" s="22">
        <v>45013</v>
      </c>
      <c r="S42" s="20" t="s">
        <v>221</v>
      </c>
      <c r="T42" s="20" t="s">
        <v>34</v>
      </c>
      <c r="U42" s="20" t="s">
        <v>58</v>
      </c>
    </row>
    <row r="43" spans="1:21" x14ac:dyDescent="0.25">
      <c r="A43" s="19" t="s">
        <v>222</v>
      </c>
      <c r="B43" s="20" t="s">
        <v>223</v>
      </c>
      <c r="C43" s="20" t="s">
        <v>190</v>
      </c>
      <c r="D43" t="str">
        <f t="shared" si="0"/>
        <v>579-1000</v>
      </c>
      <c r="E43" t="str">
        <f t="shared" si="1"/>
        <v>ELE-PNL-001</v>
      </c>
      <c r="F43" t="s">
        <v>54</v>
      </c>
      <c r="G43" t="s">
        <v>46</v>
      </c>
      <c r="H43" t="str">
        <f>_xlfn.XLOOKUP(Table6[[#This Row],[Description]],[1]Class!$A$4:$A$660,[1]Class!$G$4:$G$660,"",0,1)</f>
        <v>Safety</v>
      </c>
      <c r="I43" s="2" t="s">
        <v>28</v>
      </c>
      <c r="J43" s="20" t="s">
        <v>29</v>
      </c>
      <c r="K43" s="22">
        <v>45070</v>
      </c>
      <c r="L43" s="20" t="s">
        <v>30</v>
      </c>
      <c r="M43" s="20" t="s">
        <v>31</v>
      </c>
      <c r="N43" s="23">
        <v>0.42</v>
      </c>
      <c r="O43" s="24">
        <f>TIMEVALUE([1]!Table1[[#This Row],[Malfunction end]])-TIMEVALUE([1]!Table1[[#This Row],[Start Malfn (T)]])</f>
        <v>2.083333333333337E-2</v>
      </c>
      <c r="P43" s="22">
        <v>45069</v>
      </c>
      <c r="Q43" s="20" t="s">
        <v>224</v>
      </c>
      <c r="R43" s="22">
        <v>45069</v>
      </c>
      <c r="S43" s="20" t="s">
        <v>225</v>
      </c>
      <c r="T43" s="20" t="s">
        <v>34</v>
      </c>
      <c r="U43" s="20" t="s">
        <v>58</v>
      </c>
    </row>
    <row r="44" spans="1:21" x14ac:dyDescent="0.25">
      <c r="A44" s="19" t="s">
        <v>226</v>
      </c>
      <c r="B44" s="20" t="s">
        <v>227</v>
      </c>
      <c r="C44" s="20" t="s">
        <v>190</v>
      </c>
      <c r="D44" t="str">
        <f t="shared" si="0"/>
        <v>579-1000</v>
      </c>
      <c r="E44" t="str">
        <f t="shared" si="1"/>
        <v>ELE-PNL-001</v>
      </c>
      <c r="F44" t="s">
        <v>54</v>
      </c>
      <c r="G44" t="s">
        <v>46</v>
      </c>
      <c r="H44" t="str">
        <f>_xlfn.XLOOKUP(Table6[[#This Row],[Description]],[1]Class!$A$4:$A$660,[1]Class!$G$4:$G$660,"",0,1)</f>
        <v>Trip</v>
      </c>
      <c r="I44" s="2" t="s">
        <v>28</v>
      </c>
      <c r="J44" s="20" t="s">
        <v>29</v>
      </c>
      <c r="K44" s="22">
        <v>44722</v>
      </c>
      <c r="L44" s="20" t="s">
        <v>30</v>
      </c>
      <c r="M44" s="20" t="s">
        <v>31</v>
      </c>
      <c r="N44" s="23">
        <v>0.69</v>
      </c>
      <c r="O44" s="24">
        <f>TIMEVALUE([1]!Table1[[#This Row],[Malfunction end]])-TIMEVALUE([1]!Table1[[#This Row],[Start Malfn (T)]])</f>
        <v>1.3726851851851851E-2</v>
      </c>
      <c r="P44" s="22">
        <v>44722</v>
      </c>
      <c r="Q44" s="20" t="s">
        <v>228</v>
      </c>
      <c r="R44" s="22">
        <v>44722</v>
      </c>
      <c r="S44" s="20" t="s">
        <v>229</v>
      </c>
      <c r="T44" s="20" t="s">
        <v>34</v>
      </c>
      <c r="U44" s="20" t="s">
        <v>58</v>
      </c>
    </row>
    <row r="45" spans="1:21" x14ac:dyDescent="0.25">
      <c r="A45" s="19" t="s">
        <v>230</v>
      </c>
      <c r="B45" s="20" t="s">
        <v>231</v>
      </c>
      <c r="C45" s="20" t="s">
        <v>190</v>
      </c>
      <c r="D45" t="str">
        <f t="shared" si="0"/>
        <v>579-1000</v>
      </c>
      <c r="E45" t="str">
        <f t="shared" si="1"/>
        <v>ELE-PNL-001</v>
      </c>
      <c r="F45" t="s">
        <v>54</v>
      </c>
      <c r="G45" t="s">
        <v>46</v>
      </c>
      <c r="H45" t="str">
        <f>_xlfn.XLOOKUP(Table6[[#This Row],[Description]],[1]Class!$A$4:$A$660,[1]Class!$G$4:$G$660,"",0,1)</f>
        <v>Tear</v>
      </c>
      <c r="I45" s="4" t="s">
        <v>28</v>
      </c>
      <c r="J45" s="20" t="s">
        <v>47</v>
      </c>
      <c r="K45" s="22">
        <v>45400</v>
      </c>
      <c r="L45" s="20" t="s">
        <v>30</v>
      </c>
      <c r="M45" s="20" t="s">
        <v>31</v>
      </c>
      <c r="N45" s="23">
        <v>1.1299999999999999</v>
      </c>
      <c r="O45" s="24">
        <f>TIMEVALUE([1]!Table1[[#This Row],[Malfunction end]])-TIMEVALUE([1]!Table1[[#This Row],[Start Malfn (T)]])</f>
        <v>6.25E-2</v>
      </c>
      <c r="P45" s="22">
        <v>45400</v>
      </c>
      <c r="Q45" s="20" t="s">
        <v>232</v>
      </c>
      <c r="R45" s="22">
        <v>45400</v>
      </c>
      <c r="S45" s="20" t="s">
        <v>233</v>
      </c>
      <c r="T45" s="20" t="s">
        <v>34</v>
      </c>
      <c r="U45" s="20" t="s">
        <v>58</v>
      </c>
    </row>
    <row r="46" spans="1:21" x14ac:dyDescent="0.25">
      <c r="A46" s="19" t="s">
        <v>234</v>
      </c>
      <c r="B46" s="20" t="s">
        <v>150</v>
      </c>
      <c r="C46" s="20" t="s">
        <v>235</v>
      </c>
      <c r="D46" t="str">
        <f t="shared" si="0"/>
        <v>579-1000</v>
      </c>
      <c r="E46" t="str">
        <f t="shared" si="1"/>
        <v>ELE-PNL-002</v>
      </c>
      <c r="F46" t="s">
        <v>54</v>
      </c>
      <c r="G46" t="s">
        <v>46</v>
      </c>
      <c r="H46" t="str">
        <f>_xlfn.XLOOKUP(Table6[[#This Row],[Description]],[1]Class!$A$4:$A$660,[1]Class!$G$4:$G$660,"",0,1)</f>
        <v>Underspeed</v>
      </c>
      <c r="I46" s="2" t="s">
        <v>28</v>
      </c>
      <c r="J46" s="20" t="s">
        <v>102</v>
      </c>
      <c r="K46" s="22">
        <v>45286</v>
      </c>
      <c r="L46" s="20" t="s">
        <v>30</v>
      </c>
      <c r="M46" s="20" t="s">
        <v>31</v>
      </c>
      <c r="N46" s="23">
        <v>1.17</v>
      </c>
      <c r="O46" s="24">
        <f>TIMEVALUE([1]!Table1[[#This Row],[Malfunction end]])-TIMEVALUE([1]!Table1[[#This Row],[Start Malfn (T)]])</f>
        <v>0.1878819444444445</v>
      </c>
      <c r="P46" s="22">
        <v>45286</v>
      </c>
      <c r="Q46" s="20" t="s">
        <v>236</v>
      </c>
      <c r="R46" s="22">
        <v>45286</v>
      </c>
      <c r="S46" s="20" t="s">
        <v>237</v>
      </c>
      <c r="T46" s="20" t="s">
        <v>34</v>
      </c>
      <c r="U46" s="20" t="s">
        <v>58</v>
      </c>
    </row>
    <row r="47" spans="1:21" x14ac:dyDescent="0.25">
      <c r="A47" s="19" t="s">
        <v>238</v>
      </c>
      <c r="B47" s="20" t="s">
        <v>239</v>
      </c>
      <c r="C47" s="20" t="s">
        <v>235</v>
      </c>
      <c r="D47" t="str">
        <f t="shared" si="0"/>
        <v>579-1000</v>
      </c>
      <c r="E47" t="str">
        <f t="shared" si="1"/>
        <v>ELE-PNL-002</v>
      </c>
      <c r="F47" t="s">
        <v>54</v>
      </c>
      <c r="G47" t="s">
        <v>27</v>
      </c>
      <c r="H47" t="str">
        <f>_xlfn.XLOOKUP(Table6[[#This Row],[Description]],[1]Class!$A$4:$A$660,[1]Class!$G$4:$G$660,"",0,1)</f>
        <v>Alignment</v>
      </c>
      <c r="I47" s="2" t="s">
        <v>28</v>
      </c>
      <c r="J47" s="20" t="s">
        <v>39</v>
      </c>
      <c r="K47" s="22">
        <v>44605</v>
      </c>
      <c r="L47" s="20" t="s">
        <v>30</v>
      </c>
      <c r="M47" s="20" t="s">
        <v>31</v>
      </c>
      <c r="N47" s="23">
        <v>0.73</v>
      </c>
      <c r="O47" s="24">
        <f>TIMEVALUE([1]!Table1[[#This Row],[Malfunction end]])-TIMEVALUE([1]!Table1[[#This Row],[Start Malfn (T)]])</f>
        <v>1.1111111111111072E-2</v>
      </c>
      <c r="P47" s="22">
        <v>44605</v>
      </c>
      <c r="Q47" s="20" t="s">
        <v>240</v>
      </c>
      <c r="R47" s="22">
        <v>44605</v>
      </c>
      <c r="S47" s="20" t="s">
        <v>241</v>
      </c>
      <c r="T47" s="20" t="s">
        <v>34</v>
      </c>
      <c r="U47" s="20" t="s">
        <v>58</v>
      </c>
    </row>
    <row r="48" spans="1:21" x14ac:dyDescent="0.25">
      <c r="A48" s="19" t="s">
        <v>242</v>
      </c>
      <c r="B48" s="20" t="s">
        <v>243</v>
      </c>
      <c r="C48" s="20" t="s">
        <v>235</v>
      </c>
      <c r="D48" t="str">
        <f t="shared" si="0"/>
        <v>579-1000</v>
      </c>
      <c r="E48" t="str">
        <f t="shared" si="1"/>
        <v>ELE-PNL-002</v>
      </c>
      <c r="F48" t="s">
        <v>54</v>
      </c>
      <c r="G48" t="s">
        <v>46</v>
      </c>
      <c r="H48" t="str">
        <f>_xlfn.XLOOKUP(Table6[[#This Row],[Description]],[1]Class!$A$4:$A$660,[1]Class!$G$4:$G$660,"",0,1)</f>
        <v>Retain</v>
      </c>
      <c r="I48" s="4" t="s">
        <v>28</v>
      </c>
      <c r="J48" s="20" t="s">
        <v>102</v>
      </c>
      <c r="K48" s="22">
        <v>44479</v>
      </c>
      <c r="L48" s="20" t="s">
        <v>30</v>
      </c>
      <c r="M48" s="20" t="s">
        <v>31</v>
      </c>
      <c r="N48" s="23">
        <v>0.5</v>
      </c>
      <c r="O48" s="24">
        <f>TIMEVALUE([1]!Table1[[#This Row],[Malfunction end]])-TIMEVALUE([1]!Table1[[#This Row],[Start Malfn (T)]])</f>
        <v>3.125E-2</v>
      </c>
      <c r="P48" s="22">
        <v>44479</v>
      </c>
      <c r="Q48" s="20" t="s">
        <v>244</v>
      </c>
      <c r="R48" s="22">
        <v>44479</v>
      </c>
      <c r="S48" s="20" t="s">
        <v>245</v>
      </c>
      <c r="T48" s="20" t="s">
        <v>34</v>
      </c>
      <c r="U48" s="20" t="s">
        <v>58</v>
      </c>
    </row>
    <row r="49" spans="1:21" x14ac:dyDescent="0.25">
      <c r="A49" s="19" t="s">
        <v>246</v>
      </c>
      <c r="B49" s="20" t="s">
        <v>239</v>
      </c>
      <c r="C49" s="20" t="s">
        <v>235</v>
      </c>
      <c r="D49" t="str">
        <f t="shared" si="0"/>
        <v>579-1000</v>
      </c>
      <c r="E49" t="str">
        <f t="shared" si="1"/>
        <v>ELE-PNL-002</v>
      </c>
      <c r="F49" t="s">
        <v>54</v>
      </c>
      <c r="G49" t="s">
        <v>27</v>
      </c>
      <c r="H49" t="str">
        <f>_xlfn.XLOOKUP(Table6[[#This Row],[Description]],[1]Class!$A$4:$A$660,[1]Class!$G$4:$G$660,"",0,1)</f>
        <v>Alignment</v>
      </c>
      <c r="I49" s="2" t="s">
        <v>28</v>
      </c>
      <c r="J49" s="20" t="s">
        <v>39</v>
      </c>
      <c r="K49" s="22">
        <v>44605</v>
      </c>
      <c r="L49" s="20" t="s">
        <v>30</v>
      </c>
      <c r="M49" s="20" t="s">
        <v>31</v>
      </c>
      <c r="N49" s="23">
        <v>2</v>
      </c>
      <c r="O49" s="24">
        <f>TIMEVALUE([1]!Table1[[#This Row],[Malfunction end]])-TIMEVALUE([1]!Table1[[#This Row],[Start Malfn (T)]])</f>
        <v>0.17049768518518521</v>
      </c>
      <c r="P49" s="22">
        <v>44605</v>
      </c>
      <c r="Q49" s="20" t="s">
        <v>247</v>
      </c>
      <c r="R49" s="22">
        <v>44605</v>
      </c>
      <c r="S49" s="20" t="s">
        <v>248</v>
      </c>
      <c r="T49" s="20" t="s">
        <v>34</v>
      </c>
      <c r="U49" s="20" t="s">
        <v>58</v>
      </c>
    </row>
    <row r="50" spans="1:21" x14ac:dyDescent="0.25">
      <c r="A50" s="19" t="s">
        <v>249</v>
      </c>
      <c r="B50" s="20" t="s">
        <v>250</v>
      </c>
      <c r="C50" s="20" t="s">
        <v>251</v>
      </c>
      <c r="D50" t="str">
        <f t="shared" si="0"/>
        <v>579-1000</v>
      </c>
      <c r="E50" t="str">
        <f t="shared" si="1"/>
        <v>ELE-SWH-001</v>
      </c>
      <c r="F50" t="s">
        <v>54</v>
      </c>
      <c r="G50" t="s">
        <v>46</v>
      </c>
      <c r="H50" t="str">
        <f>_xlfn.XLOOKUP(Table6[[#This Row],[Description]],[1]Class!$A$4:$A$660,[1]Class!$G$4:$G$660,"",0,1)</f>
        <v>Underspeed</v>
      </c>
      <c r="I50" s="2" t="s">
        <v>28</v>
      </c>
      <c r="J50" s="20" t="s">
        <v>29</v>
      </c>
      <c r="K50" s="22">
        <v>44415</v>
      </c>
      <c r="L50" s="20" t="s">
        <v>30</v>
      </c>
      <c r="M50" s="20" t="s">
        <v>31</v>
      </c>
      <c r="N50" s="23">
        <v>0.41</v>
      </c>
      <c r="O50" s="24">
        <f>TIMEVALUE([1]!Table1[[#This Row],[Malfunction end]])-TIMEVALUE([1]!Table1[[#This Row],[Start Malfn (T)]])</f>
        <v>2.083333333333337E-2</v>
      </c>
      <c r="P50" s="22">
        <v>44415</v>
      </c>
      <c r="Q50" s="20" t="s">
        <v>252</v>
      </c>
      <c r="R50" s="22">
        <v>44415</v>
      </c>
      <c r="S50" s="20" t="s">
        <v>253</v>
      </c>
      <c r="T50" s="20" t="s">
        <v>34</v>
      </c>
      <c r="U50" s="20" t="s">
        <v>58</v>
      </c>
    </row>
    <row r="51" spans="1:21" x14ac:dyDescent="0.25">
      <c r="A51" s="19" t="s">
        <v>254</v>
      </c>
      <c r="B51" s="20" t="s">
        <v>255</v>
      </c>
      <c r="C51" s="20" t="s">
        <v>256</v>
      </c>
      <c r="D51" t="str">
        <f t="shared" si="0"/>
        <v>579-1000</v>
      </c>
      <c r="E51" t="str">
        <f t="shared" si="1"/>
        <v>IDL-001</v>
      </c>
      <c r="F51" t="s">
        <v>38</v>
      </c>
      <c r="G51" t="s">
        <v>38</v>
      </c>
      <c r="H51" t="str">
        <f>_xlfn.XLOOKUP(Table6[[#This Row],[Description]],[1]Class!$A$4:$A$660,[1]Class!$G$4:$G$660,"",0,1)</f>
        <v/>
      </c>
      <c r="I51" s="4" t="s">
        <v>28</v>
      </c>
      <c r="J51" s="20" t="s">
        <v>65</v>
      </c>
      <c r="K51" s="22">
        <v>44866</v>
      </c>
      <c r="L51" s="20" t="s">
        <v>30</v>
      </c>
      <c r="M51" s="20" t="s">
        <v>31</v>
      </c>
      <c r="N51" s="23">
        <v>2.0699999999999998</v>
      </c>
      <c r="O51" s="24">
        <f>TIMEVALUE([1]!Table1[[#This Row],[Malfunction end]])-TIMEVALUE([1]!Table1[[#This Row],[Start Malfn (T)]])</f>
        <v>0.17217592592592593</v>
      </c>
      <c r="P51" s="22">
        <v>44865</v>
      </c>
      <c r="Q51" s="20" t="s">
        <v>257</v>
      </c>
      <c r="R51" s="22">
        <v>44865</v>
      </c>
      <c r="S51" s="20" t="s">
        <v>258</v>
      </c>
      <c r="T51" s="20" t="s">
        <v>34</v>
      </c>
      <c r="U51" s="20" t="s">
        <v>35</v>
      </c>
    </row>
    <row r="52" spans="1:21" x14ac:dyDescent="0.25">
      <c r="A52" s="19" t="s">
        <v>259</v>
      </c>
      <c r="B52" s="20" t="s">
        <v>260</v>
      </c>
      <c r="C52" s="20" t="s">
        <v>261</v>
      </c>
      <c r="D52" t="str">
        <f t="shared" si="0"/>
        <v>579-1000</v>
      </c>
      <c r="E52" t="str">
        <f t="shared" si="1"/>
        <v>IDL-002</v>
      </c>
      <c r="F52" t="s">
        <v>38</v>
      </c>
      <c r="G52" t="s">
        <v>38</v>
      </c>
      <c r="H52" t="str">
        <f>_xlfn.XLOOKUP(Table6[[#This Row],[Description]],[1]Class!$A$4:$A$660,[1]Class!$G$4:$G$660,"",0,1)</f>
        <v/>
      </c>
      <c r="I52" s="2" t="s">
        <v>28</v>
      </c>
      <c r="J52" s="20" t="s">
        <v>102</v>
      </c>
      <c r="K52" s="22">
        <v>44763</v>
      </c>
      <c r="L52" s="20" t="s">
        <v>30</v>
      </c>
      <c r="M52" s="20" t="s">
        <v>31</v>
      </c>
      <c r="N52" s="23">
        <v>1</v>
      </c>
      <c r="O52" s="24">
        <f>TIMEVALUE([1]!Table1[[#This Row],[Malfunction end]])-TIMEVALUE([1]!Table1[[#This Row],[Start Malfn (T)]])</f>
        <v>3.8518518518518507E-2</v>
      </c>
      <c r="P52" s="22">
        <v>44762</v>
      </c>
      <c r="Q52" s="20" t="s">
        <v>262</v>
      </c>
      <c r="R52" s="22">
        <v>44762</v>
      </c>
      <c r="S52" s="20" t="s">
        <v>263</v>
      </c>
      <c r="T52" s="20" t="s">
        <v>34</v>
      </c>
      <c r="U52" s="20" t="s">
        <v>35</v>
      </c>
    </row>
    <row r="53" spans="1:21" x14ac:dyDescent="0.25">
      <c r="A53" s="19" t="s">
        <v>264</v>
      </c>
      <c r="B53" s="20" t="s">
        <v>64</v>
      </c>
      <c r="C53" s="20" t="s">
        <v>265</v>
      </c>
      <c r="D53" t="str">
        <f t="shared" si="0"/>
        <v>579-1000</v>
      </c>
      <c r="E53" t="str">
        <f t="shared" si="1"/>
        <v>INE-DTE-002</v>
      </c>
      <c r="F53" t="s">
        <v>124</v>
      </c>
      <c r="G53" t="s">
        <v>46</v>
      </c>
      <c r="H53" t="str">
        <f>_xlfn.XLOOKUP(Table6[[#This Row],[Description]],[1]Class!$A$4:$A$660,[1]Class!$G$4:$G$660,"",0,1)</f>
        <v>Blockchute</v>
      </c>
      <c r="I53" s="2" t="s">
        <v>28</v>
      </c>
      <c r="J53" s="20" t="s">
        <v>29</v>
      </c>
      <c r="K53" s="22">
        <v>45018</v>
      </c>
      <c r="L53" s="20" t="s">
        <v>30</v>
      </c>
      <c r="M53" s="20" t="s">
        <v>31</v>
      </c>
      <c r="N53" s="23">
        <v>0.59</v>
      </c>
      <c r="O53" s="24">
        <f>TIMEVALUE([1]!Table1[[#This Row],[Malfunction end]])-TIMEVALUE([1]!Table1[[#This Row],[Start Malfn (T)]])</f>
        <v>4.166666666666663E-2</v>
      </c>
      <c r="P53" s="22">
        <v>45018</v>
      </c>
      <c r="Q53" s="20" t="s">
        <v>266</v>
      </c>
      <c r="R53" s="22">
        <v>45018</v>
      </c>
      <c r="S53" s="20" t="s">
        <v>267</v>
      </c>
      <c r="T53" s="20" t="s">
        <v>34</v>
      </c>
      <c r="U53" s="20" t="s">
        <v>50</v>
      </c>
    </row>
    <row r="54" spans="1:21" x14ac:dyDescent="0.25">
      <c r="A54" s="5" t="s">
        <v>268</v>
      </c>
      <c r="B54" s="1" t="s">
        <v>269</v>
      </c>
      <c r="C54" s="1" t="s">
        <v>270</v>
      </c>
      <c r="D54" s="10" t="str">
        <f t="shared" si="0"/>
        <v>579-1200</v>
      </c>
      <c r="E54" s="2" t="str">
        <f t="shared" si="1"/>
        <v>BET-001</v>
      </c>
      <c r="F54" s="2" t="s">
        <v>26</v>
      </c>
      <c r="G54" s="2" t="s">
        <v>38</v>
      </c>
      <c r="H54" s="2" t="str">
        <f>_xlfn.XLOOKUP(Table6[[#This Row],[Description]],[1]Class!$A$4:$A$660,[1]Class!$G$4:$G$660,"",0,1)</f>
        <v/>
      </c>
      <c r="I54" s="4" t="s">
        <v>28</v>
      </c>
      <c r="J54" s="1" t="s">
        <v>39</v>
      </c>
      <c r="K54" s="11">
        <v>44717</v>
      </c>
      <c r="L54" s="1" t="s">
        <v>30</v>
      </c>
      <c r="M54" s="1" t="s">
        <v>31</v>
      </c>
      <c r="N54" s="12">
        <v>0.5</v>
      </c>
      <c r="O54" s="13">
        <f>TIMEVALUE([1]!Table1[[#This Row],[Malfunction end]])-TIMEVALUE([1]!Table1[[#This Row],[Start Malfn (T)]])</f>
        <v>3.2118055555555552E-2</v>
      </c>
      <c r="P54" s="11">
        <v>44717</v>
      </c>
      <c r="Q54" s="1" t="s">
        <v>271</v>
      </c>
      <c r="R54" s="11">
        <v>44717</v>
      </c>
      <c r="S54" s="1" t="s">
        <v>272</v>
      </c>
      <c r="T54" s="1" t="s">
        <v>34</v>
      </c>
      <c r="U54" s="14" t="s">
        <v>35</v>
      </c>
    </row>
    <row r="55" spans="1:21" x14ac:dyDescent="0.25">
      <c r="A55" s="5" t="s">
        <v>273</v>
      </c>
      <c r="B55" s="3" t="s">
        <v>274</v>
      </c>
      <c r="C55" s="3" t="s">
        <v>270</v>
      </c>
      <c r="D55" s="4" t="str">
        <f t="shared" si="0"/>
        <v>579-1200</v>
      </c>
      <c r="E55" s="4" t="str">
        <f t="shared" si="1"/>
        <v>BET-001</v>
      </c>
      <c r="F55" s="4" t="s">
        <v>26</v>
      </c>
      <c r="G55" s="4" t="s">
        <v>54</v>
      </c>
      <c r="H55" s="4" t="str">
        <f>_xlfn.XLOOKUP(Table6[[#This Row],[Description]],[1]Class!$A$4:$A$660,[1]Class!$G$4:$G$660,"",0,1)</f>
        <v/>
      </c>
      <c r="I55" s="2" t="s">
        <v>28</v>
      </c>
      <c r="J55" s="3" t="s">
        <v>181</v>
      </c>
      <c r="K55" s="15">
        <v>44734</v>
      </c>
      <c r="L55" s="3" t="s">
        <v>30</v>
      </c>
      <c r="M55" s="3" t="s">
        <v>31</v>
      </c>
      <c r="N55" s="16">
        <v>0.13</v>
      </c>
      <c r="O55" s="17">
        <f>TIMEVALUE([1]!Table1[[#This Row],[Malfunction end]])-TIMEVALUE([1]!Table1[[#This Row],[Start Malfn (T)]])</f>
        <v>3.9537037037037037E-2</v>
      </c>
      <c r="P55" s="15">
        <v>44734</v>
      </c>
      <c r="Q55" s="3" t="s">
        <v>275</v>
      </c>
      <c r="R55" s="15">
        <v>44734</v>
      </c>
      <c r="S55" s="3" t="s">
        <v>276</v>
      </c>
      <c r="T55" s="3" t="s">
        <v>34</v>
      </c>
      <c r="U55" s="18" t="s">
        <v>35</v>
      </c>
    </row>
    <row r="56" spans="1:21" x14ac:dyDescent="0.25">
      <c r="A56" s="5" t="s">
        <v>277</v>
      </c>
      <c r="B56" s="1" t="s">
        <v>278</v>
      </c>
      <c r="C56" s="1" t="s">
        <v>270</v>
      </c>
      <c r="D56" s="2" t="str">
        <f t="shared" si="0"/>
        <v>579-1200</v>
      </c>
      <c r="E56" s="2" t="str">
        <f t="shared" si="1"/>
        <v>BET-001</v>
      </c>
      <c r="F56" s="2" t="s">
        <v>26</v>
      </c>
      <c r="G56" s="2" t="s">
        <v>46</v>
      </c>
      <c r="H56" s="2" t="str">
        <f>_xlfn.XLOOKUP(Table6[[#This Row],[Description]],[1]Class!$A$4:$A$660,[1]Class!$G$4:$G$660,"",0,1)</f>
        <v>Lockout</v>
      </c>
      <c r="I56" s="2" t="s">
        <v>28</v>
      </c>
      <c r="J56" s="1" t="s">
        <v>39</v>
      </c>
      <c r="K56" s="11">
        <v>45490</v>
      </c>
      <c r="L56" s="1" t="s">
        <v>30</v>
      </c>
      <c r="M56" s="1" t="s">
        <v>31</v>
      </c>
      <c r="N56" s="12">
        <v>0.22</v>
      </c>
      <c r="O56" s="13">
        <f>TIMEVALUE([1]!Table1[[#This Row],[Malfunction end]])-TIMEVALUE([1]!Table1[[#This Row],[Start Malfn (T)]])</f>
        <v>7.2222222222222215E-2</v>
      </c>
      <c r="P56" s="11">
        <v>45490</v>
      </c>
      <c r="Q56" s="1" t="s">
        <v>279</v>
      </c>
      <c r="R56" s="11">
        <v>45490</v>
      </c>
      <c r="S56" s="1" t="s">
        <v>280</v>
      </c>
      <c r="T56" s="1" t="s">
        <v>34</v>
      </c>
      <c r="U56" s="14" t="s">
        <v>35</v>
      </c>
    </row>
    <row r="57" spans="1:21" x14ac:dyDescent="0.25">
      <c r="A57" s="5" t="s">
        <v>281</v>
      </c>
      <c r="B57" s="3" t="s">
        <v>5</v>
      </c>
      <c r="C57" s="3" t="s">
        <v>270</v>
      </c>
      <c r="D57" s="4" t="str">
        <f t="shared" si="0"/>
        <v>579-1200</v>
      </c>
      <c r="E57" s="4" t="str">
        <f t="shared" si="1"/>
        <v>BET-001</v>
      </c>
      <c r="F57" s="4" t="s">
        <v>26</v>
      </c>
      <c r="G57" s="4" t="s">
        <v>27</v>
      </c>
      <c r="H57" s="4" t="str">
        <f>_xlfn.XLOOKUP(Table6[[#This Row],[Description]],[1]Class!$A$4:$A$660,[1]Class!$G$4:$G$660,"",0,1)</f>
        <v>Skew</v>
      </c>
      <c r="I57" s="4" t="s">
        <v>28</v>
      </c>
      <c r="J57" s="3" t="s">
        <v>29</v>
      </c>
      <c r="K57" s="15">
        <v>45227</v>
      </c>
      <c r="L57" s="3" t="s">
        <v>30</v>
      </c>
      <c r="M57" s="3" t="s">
        <v>31</v>
      </c>
      <c r="N57" s="16">
        <v>0.91</v>
      </c>
      <c r="O57" s="17">
        <f>TIMEVALUE([1]!Table1[[#This Row],[Malfunction end]])-TIMEVALUE([1]!Table1[[#This Row],[Start Malfn (T)]])</f>
        <v>2.083333333333337E-2</v>
      </c>
      <c r="P57" s="15">
        <v>45227</v>
      </c>
      <c r="Q57" s="3" t="s">
        <v>282</v>
      </c>
      <c r="R57" s="15">
        <v>45227</v>
      </c>
      <c r="S57" s="3" t="s">
        <v>283</v>
      </c>
      <c r="T57" s="3" t="s">
        <v>34</v>
      </c>
      <c r="U57" s="18" t="s">
        <v>35</v>
      </c>
    </row>
    <row r="58" spans="1:21" x14ac:dyDescent="0.25">
      <c r="A58" s="5" t="s">
        <v>284</v>
      </c>
      <c r="B58" s="1" t="s">
        <v>285</v>
      </c>
      <c r="C58" s="1" t="s">
        <v>270</v>
      </c>
      <c r="D58" s="2" t="str">
        <f t="shared" si="0"/>
        <v>579-1200</v>
      </c>
      <c r="E58" s="2" t="str">
        <f t="shared" si="1"/>
        <v>BET-001</v>
      </c>
      <c r="F58" s="2" t="s">
        <v>26</v>
      </c>
      <c r="G58" s="2" t="s">
        <v>26</v>
      </c>
      <c r="H58" s="2" t="str">
        <f>_xlfn.XLOOKUP(Table6[[#This Row],[Description]],[1]Class!$A$4:$A$660,[1]Class!$G$4:$G$660,"",0,1)</f>
        <v/>
      </c>
      <c r="I58" s="2" t="s">
        <v>28</v>
      </c>
      <c r="J58" s="1" t="s">
        <v>55</v>
      </c>
      <c r="K58" s="11">
        <v>45214</v>
      </c>
      <c r="L58" s="1" t="s">
        <v>30</v>
      </c>
      <c r="M58" s="1" t="s">
        <v>31</v>
      </c>
      <c r="N58" s="12">
        <v>2.25</v>
      </c>
      <c r="O58" s="13">
        <f>TIMEVALUE([1]!Table1[[#This Row],[Malfunction end]])-TIMEVALUE([1]!Table1[[#This Row],[Start Malfn (T)]])</f>
        <v>1.9444444444444375E-2</v>
      </c>
      <c r="P58" s="11">
        <v>45214</v>
      </c>
      <c r="Q58" s="1" t="s">
        <v>286</v>
      </c>
      <c r="R58" s="11">
        <v>45214</v>
      </c>
      <c r="S58" s="1" t="s">
        <v>287</v>
      </c>
      <c r="T58" s="1" t="s">
        <v>34</v>
      </c>
      <c r="U58" s="14" t="s">
        <v>35</v>
      </c>
    </row>
    <row r="59" spans="1:21" x14ac:dyDescent="0.25">
      <c r="A59" s="5" t="s">
        <v>288</v>
      </c>
      <c r="B59" s="3" t="s">
        <v>150</v>
      </c>
      <c r="C59" s="3" t="s">
        <v>270</v>
      </c>
      <c r="D59" s="4" t="str">
        <f t="shared" si="0"/>
        <v>579-1200</v>
      </c>
      <c r="E59" s="4" t="str">
        <f t="shared" si="1"/>
        <v>BET-001</v>
      </c>
      <c r="F59" s="4" t="s">
        <v>26</v>
      </c>
      <c r="G59" s="4" t="s">
        <v>146</v>
      </c>
      <c r="H59" s="4" t="str">
        <f>_xlfn.XLOOKUP(Table6[[#This Row],[Description]],[1]Class!$A$4:$A$660,[1]Class!$G$4:$G$660,"",0,1)</f>
        <v>Underspeed</v>
      </c>
      <c r="I59" s="2" t="s">
        <v>28</v>
      </c>
      <c r="J59" s="3" t="s">
        <v>102</v>
      </c>
      <c r="K59" s="15">
        <v>45360</v>
      </c>
      <c r="L59" s="3" t="s">
        <v>30</v>
      </c>
      <c r="M59" s="3" t="s">
        <v>31</v>
      </c>
      <c r="N59" s="16">
        <v>0.65</v>
      </c>
      <c r="O59" s="17">
        <f>TIMEVALUE([1]!Table1[[#This Row],[Malfunction end]])-TIMEVALUE([1]!Table1[[#This Row],[Start Malfn (T)]])</f>
        <v>6.0162037037037042E-2</v>
      </c>
      <c r="P59" s="15">
        <v>45359</v>
      </c>
      <c r="Q59" s="3" t="s">
        <v>289</v>
      </c>
      <c r="R59" s="15">
        <v>45360</v>
      </c>
      <c r="S59" s="3" t="s">
        <v>67</v>
      </c>
      <c r="T59" s="3" t="s">
        <v>34</v>
      </c>
      <c r="U59" s="18" t="s">
        <v>35</v>
      </c>
    </row>
    <row r="60" spans="1:21" x14ac:dyDescent="0.25">
      <c r="A60" s="5" t="s">
        <v>290</v>
      </c>
      <c r="B60" s="1" t="s">
        <v>291</v>
      </c>
      <c r="C60" s="1" t="s">
        <v>270</v>
      </c>
      <c r="D60" s="2" t="str">
        <f t="shared" si="0"/>
        <v>579-1200</v>
      </c>
      <c r="E60" s="2" t="str">
        <f t="shared" si="1"/>
        <v>BET-001</v>
      </c>
      <c r="F60" s="2" t="s">
        <v>26</v>
      </c>
      <c r="G60" s="2" t="s">
        <v>26</v>
      </c>
      <c r="H60" s="2" t="str">
        <f>_xlfn.XLOOKUP(Table6[[#This Row],[Description]],[1]Class!$A$4:$A$660,[1]Class!$G$4:$G$660,"",0,1)</f>
        <v/>
      </c>
      <c r="I60" s="4" t="s">
        <v>28</v>
      </c>
      <c r="J60" s="1" t="s">
        <v>215</v>
      </c>
      <c r="K60" s="11">
        <v>45215</v>
      </c>
      <c r="L60" s="1" t="s">
        <v>30</v>
      </c>
      <c r="M60" s="1" t="s">
        <v>31</v>
      </c>
      <c r="N60" s="12">
        <v>0.53</v>
      </c>
      <c r="O60" s="13">
        <f>TIMEVALUE([1]!Table1[[#This Row],[Malfunction end]])-TIMEVALUE([1]!Table1[[#This Row],[Start Malfn (T)]])</f>
        <v>7.4305555555555569E-2</v>
      </c>
      <c r="P60" s="11">
        <v>45215</v>
      </c>
      <c r="Q60" s="1" t="s">
        <v>292</v>
      </c>
      <c r="R60" s="11">
        <v>45215</v>
      </c>
      <c r="S60" s="1" t="s">
        <v>293</v>
      </c>
      <c r="T60" s="1" t="s">
        <v>34</v>
      </c>
      <c r="U60" s="14" t="s">
        <v>35</v>
      </c>
    </row>
    <row r="61" spans="1:21" x14ac:dyDescent="0.25">
      <c r="A61" s="5" t="s">
        <v>294</v>
      </c>
      <c r="B61" s="3" t="s">
        <v>295</v>
      </c>
      <c r="C61" s="3" t="s">
        <v>296</v>
      </c>
      <c r="D61" s="4" t="str">
        <f t="shared" si="0"/>
        <v>579-1200</v>
      </c>
      <c r="E61" s="4" t="str">
        <f t="shared" si="1"/>
        <v>ELE-PNL-001</v>
      </c>
      <c r="F61" s="4" t="s">
        <v>54</v>
      </c>
      <c r="G61" s="4" t="s">
        <v>54</v>
      </c>
      <c r="H61" s="4" t="str">
        <f>_xlfn.XLOOKUP(Table6[[#This Row],[Description]],[1]Class!$A$4:$A$660,[1]Class!$G$4:$G$660,"",0,1)</f>
        <v/>
      </c>
      <c r="I61" s="2" t="s">
        <v>28</v>
      </c>
      <c r="J61" s="3" t="s">
        <v>47</v>
      </c>
      <c r="K61" s="15">
        <v>45175</v>
      </c>
      <c r="L61" s="3" t="s">
        <v>30</v>
      </c>
      <c r="M61" s="3" t="s">
        <v>31</v>
      </c>
      <c r="N61" s="16">
        <v>0.94</v>
      </c>
      <c r="O61" s="17">
        <f>TIMEVALUE([1]!Table1[[#This Row],[Malfunction end]])-TIMEVALUE([1]!Table1[[#This Row],[Start Malfn (T)]])</f>
        <v>2.083333333333337E-2</v>
      </c>
      <c r="P61" s="15">
        <v>45175</v>
      </c>
      <c r="Q61" s="3" t="s">
        <v>297</v>
      </c>
      <c r="R61" s="15">
        <v>45175</v>
      </c>
      <c r="S61" s="3" t="s">
        <v>298</v>
      </c>
      <c r="T61" s="3" t="s">
        <v>34</v>
      </c>
      <c r="U61" s="18" t="s">
        <v>58</v>
      </c>
    </row>
    <row r="62" spans="1:21" x14ac:dyDescent="0.25">
      <c r="A62" s="5" t="s">
        <v>299</v>
      </c>
      <c r="B62" s="1" t="s">
        <v>300</v>
      </c>
      <c r="C62" s="1" t="s">
        <v>296</v>
      </c>
      <c r="D62" s="2" t="str">
        <f t="shared" si="0"/>
        <v>579-1200</v>
      </c>
      <c r="E62" s="2" t="str">
        <f t="shared" si="1"/>
        <v>ELE-PNL-001</v>
      </c>
      <c r="F62" s="2" t="s">
        <v>54</v>
      </c>
      <c r="G62" s="2" t="s">
        <v>46</v>
      </c>
      <c r="H62" s="2" t="str">
        <f>_xlfn.XLOOKUP(Table6[[#This Row],[Description]],[1]Class!$A$4:$A$660,[1]Class!$G$4:$G$660,"",0,1)</f>
        <v>Underspeed</v>
      </c>
      <c r="I62" s="2" t="s">
        <v>28</v>
      </c>
      <c r="J62" s="1" t="s">
        <v>47</v>
      </c>
      <c r="K62" s="11">
        <v>45018</v>
      </c>
      <c r="L62" s="1" t="s">
        <v>30</v>
      </c>
      <c r="M62" s="1" t="s">
        <v>31</v>
      </c>
      <c r="N62" s="12">
        <v>0.6</v>
      </c>
      <c r="O62" s="13">
        <f>TIMEVALUE([1]!Table1[[#This Row],[Malfunction end]])-TIMEVALUE([1]!Table1[[#This Row],[Start Malfn (T)]])</f>
        <v>2.0833333333333336E-2</v>
      </c>
      <c r="P62" s="11">
        <v>45018</v>
      </c>
      <c r="Q62" s="1" t="s">
        <v>301</v>
      </c>
      <c r="R62" s="11">
        <v>45018</v>
      </c>
      <c r="S62" s="1" t="s">
        <v>302</v>
      </c>
      <c r="T62" s="1" t="s">
        <v>34</v>
      </c>
      <c r="U62" s="14" t="s">
        <v>58</v>
      </c>
    </row>
    <row r="63" spans="1:21" x14ac:dyDescent="0.25">
      <c r="A63" s="5" t="s">
        <v>303</v>
      </c>
      <c r="B63" s="3" t="s">
        <v>304</v>
      </c>
      <c r="C63" s="3" t="s">
        <v>296</v>
      </c>
      <c r="D63" s="4" t="str">
        <f t="shared" si="0"/>
        <v>579-1200</v>
      </c>
      <c r="E63" s="4" t="str">
        <f t="shared" si="1"/>
        <v>ELE-PNL-001</v>
      </c>
      <c r="F63" s="4" t="s">
        <v>54</v>
      </c>
      <c r="G63" s="4" t="s">
        <v>54</v>
      </c>
      <c r="H63" s="4" t="str">
        <f>_xlfn.XLOOKUP(Table6[[#This Row],[Description]],[1]Class!$A$4:$A$660,[1]Class!$G$4:$G$660,"",0,1)</f>
        <v/>
      </c>
      <c r="I63" s="4" t="s">
        <v>28</v>
      </c>
      <c r="J63" s="3" t="s">
        <v>29</v>
      </c>
      <c r="K63" s="15">
        <v>45461</v>
      </c>
      <c r="L63" s="3" t="s">
        <v>30</v>
      </c>
      <c r="M63" s="3" t="s">
        <v>31</v>
      </c>
      <c r="N63" s="16">
        <v>0.61</v>
      </c>
      <c r="O63" s="17">
        <f>TIMEVALUE([1]!Table1[[#This Row],[Malfunction end]])-TIMEVALUE([1]!Table1[[#This Row],[Start Malfn (T)]])</f>
        <v>0.13526620370370374</v>
      </c>
      <c r="P63" s="15">
        <v>45461</v>
      </c>
      <c r="Q63" s="3" t="s">
        <v>305</v>
      </c>
      <c r="R63" s="15">
        <v>45461</v>
      </c>
      <c r="S63" s="3" t="s">
        <v>306</v>
      </c>
      <c r="T63" s="3" t="s">
        <v>34</v>
      </c>
      <c r="U63" s="18" t="s">
        <v>58</v>
      </c>
    </row>
    <row r="64" spans="1:21" x14ac:dyDescent="0.25">
      <c r="A64" s="5" t="s">
        <v>307</v>
      </c>
      <c r="B64" s="1" t="s">
        <v>64</v>
      </c>
      <c r="C64" s="1" t="s">
        <v>296</v>
      </c>
      <c r="D64" s="2" t="str">
        <f t="shared" si="0"/>
        <v>579-1200</v>
      </c>
      <c r="E64" s="2" t="str">
        <f t="shared" si="1"/>
        <v>ELE-PNL-001</v>
      </c>
      <c r="F64" s="2" t="s">
        <v>54</v>
      </c>
      <c r="G64" s="2" t="s">
        <v>46</v>
      </c>
      <c r="H64" s="2" t="str">
        <f>_xlfn.XLOOKUP(Table6[[#This Row],[Description]],[1]Class!$A$4:$A$660,[1]Class!$G$4:$G$660,"",0,1)</f>
        <v>Blockchute</v>
      </c>
      <c r="I64" s="2" t="s">
        <v>28</v>
      </c>
      <c r="J64" s="1" t="s">
        <v>29</v>
      </c>
      <c r="K64" s="11">
        <v>45382</v>
      </c>
      <c r="L64" s="1" t="s">
        <v>30</v>
      </c>
      <c r="M64" s="1" t="s">
        <v>31</v>
      </c>
      <c r="N64" s="12">
        <v>1.8</v>
      </c>
      <c r="O64" s="13">
        <f>TIMEVALUE([1]!Table1[[#This Row],[Malfunction end]])-TIMEVALUE([1]!Table1[[#This Row],[Start Malfn (T)]])</f>
        <v>2.777777777777779E-2</v>
      </c>
      <c r="P64" s="11">
        <v>45382</v>
      </c>
      <c r="Q64" s="1" t="s">
        <v>308</v>
      </c>
      <c r="R64" s="11">
        <v>45382</v>
      </c>
      <c r="S64" s="1" t="s">
        <v>309</v>
      </c>
      <c r="T64" s="1" t="s">
        <v>34</v>
      </c>
      <c r="U64" s="14" t="s">
        <v>58</v>
      </c>
    </row>
    <row r="65" spans="1:21" x14ac:dyDescent="0.25">
      <c r="A65" s="5" t="s">
        <v>310</v>
      </c>
      <c r="B65" s="3" t="s">
        <v>311</v>
      </c>
      <c r="C65" s="3" t="s">
        <v>296</v>
      </c>
      <c r="D65" s="4" t="str">
        <f t="shared" si="0"/>
        <v>579-1200</v>
      </c>
      <c r="E65" s="4" t="str">
        <f t="shared" si="1"/>
        <v>ELE-PNL-001</v>
      </c>
      <c r="F65" s="4" t="s">
        <v>54</v>
      </c>
      <c r="G65" s="4" t="s">
        <v>46</v>
      </c>
      <c r="H65" s="4" t="str">
        <f>_xlfn.XLOOKUP(Table6[[#This Row],[Description]],[1]Class!$A$4:$A$660,[1]Class!$G$4:$G$660,"",0,1)</f>
        <v>Fault</v>
      </c>
      <c r="I65" s="2" t="s">
        <v>28</v>
      </c>
      <c r="J65" s="3" t="s">
        <v>29</v>
      </c>
      <c r="K65" s="15">
        <v>45511</v>
      </c>
      <c r="L65" s="3" t="s">
        <v>30</v>
      </c>
      <c r="M65" s="3" t="s">
        <v>31</v>
      </c>
      <c r="N65" s="16">
        <v>0.32</v>
      </c>
      <c r="O65" s="17">
        <f>TIMEVALUE([1]!Table1[[#This Row],[Malfunction end]])-TIMEVALUE([1]!Table1[[#This Row],[Start Malfn (T)]])</f>
        <v>3.6805555555555536E-2</v>
      </c>
      <c r="P65" s="15">
        <v>45511</v>
      </c>
      <c r="Q65" s="3" t="s">
        <v>312</v>
      </c>
      <c r="R65" s="15">
        <v>45511</v>
      </c>
      <c r="S65" s="3" t="s">
        <v>313</v>
      </c>
      <c r="T65" s="3" t="s">
        <v>34</v>
      </c>
      <c r="U65" s="18" t="s">
        <v>58</v>
      </c>
    </row>
    <row r="66" spans="1:21" x14ac:dyDescent="0.25">
      <c r="A66" s="5" t="s">
        <v>314</v>
      </c>
      <c r="B66" s="1" t="s">
        <v>315</v>
      </c>
      <c r="C66" s="1" t="s">
        <v>296</v>
      </c>
      <c r="D66" s="2" t="str">
        <f t="shared" ref="D66:D129" si="2">MID(C66,9,3) &amp;"-"&amp; MID(C66,21,3)&amp;"0"</f>
        <v>579-1200</v>
      </c>
      <c r="E66" s="2" t="str">
        <f t="shared" ref="E66:E129" si="3">MID(C66,25,LEN(C66)-14)</f>
        <v>ELE-PNL-001</v>
      </c>
      <c r="F66" s="2" t="s">
        <v>54</v>
      </c>
      <c r="G66" s="2" t="s">
        <v>46</v>
      </c>
      <c r="H66" s="2" t="str">
        <f>_xlfn.XLOOKUP(Table6[[#This Row],[Description]],[1]Class!$A$4:$A$660,[1]Class!$G$4:$G$660,"",0,1)</f>
        <v>Alarm</v>
      </c>
      <c r="I66" s="4" t="s">
        <v>28</v>
      </c>
      <c r="J66" s="1" t="s">
        <v>29</v>
      </c>
      <c r="K66" s="11">
        <v>44993</v>
      </c>
      <c r="L66" s="1" t="s">
        <v>30</v>
      </c>
      <c r="M66" s="1" t="s">
        <v>31</v>
      </c>
      <c r="N66" s="12">
        <v>1.1000000000000001</v>
      </c>
      <c r="O66" s="13">
        <f>TIMEVALUE([1]!Table1[[#This Row],[Malfunction end]])-TIMEVALUE([1]!Table1[[#This Row],[Start Malfn (T)]])</f>
        <v>0.12874999999999998</v>
      </c>
      <c r="P66" s="11">
        <v>44993</v>
      </c>
      <c r="Q66" s="1" t="s">
        <v>316</v>
      </c>
      <c r="R66" s="11">
        <v>44993</v>
      </c>
      <c r="S66" s="1" t="s">
        <v>317</v>
      </c>
      <c r="T66" s="1" t="s">
        <v>34</v>
      </c>
      <c r="U66" s="14" t="s">
        <v>58</v>
      </c>
    </row>
    <row r="67" spans="1:21" x14ac:dyDescent="0.25">
      <c r="A67" s="5" t="s">
        <v>318</v>
      </c>
      <c r="B67" s="3" t="s">
        <v>319</v>
      </c>
      <c r="C67" s="3" t="s">
        <v>296</v>
      </c>
      <c r="D67" s="4" t="str">
        <f t="shared" si="2"/>
        <v>579-1200</v>
      </c>
      <c r="E67" s="4" t="str">
        <f t="shared" si="3"/>
        <v>ELE-PNL-001</v>
      </c>
      <c r="F67" s="4" t="s">
        <v>54</v>
      </c>
      <c r="G67" s="4" t="s">
        <v>46</v>
      </c>
      <c r="H67" s="4" t="str">
        <f>_xlfn.XLOOKUP(Table6[[#This Row],[Description]],[1]Class!$A$4:$A$660,[1]Class!$G$4:$G$660,"",0,1)</f>
        <v>Alarm</v>
      </c>
      <c r="I67" s="2" t="s">
        <v>28</v>
      </c>
      <c r="J67" s="3" t="s">
        <v>215</v>
      </c>
      <c r="K67" s="15">
        <v>45288</v>
      </c>
      <c r="L67" s="3" t="s">
        <v>30</v>
      </c>
      <c r="M67" s="3" t="s">
        <v>31</v>
      </c>
      <c r="N67" s="16">
        <v>0.3</v>
      </c>
      <c r="O67" s="17">
        <f>TIMEVALUE([1]!Table1[[#This Row],[Malfunction end]])-TIMEVALUE([1]!Table1[[#This Row],[Start Malfn (T)]])</f>
        <v>4.6527777777777724E-2</v>
      </c>
      <c r="P67" s="15">
        <v>45288</v>
      </c>
      <c r="Q67" s="3" t="s">
        <v>320</v>
      </c>
      <c r="R67" s="15">
        <v>45288</v>
      </c>
      <c r="S67" s="3" t="s">
        <v>321</v>
      </c>
      <c r="T67" s="3" t="s">
        <v>34</v>
      </c>
      <c r="U67" s="18" t="s">
        <v>58</v>
      </c>
    </row>
    <row r="68" spans="1:21" x14ac:dyDescent="0.25">
      <c r="A68" s="5" t="s">
        <v>322</v>
      </c>
      <c r="B68" s="1" t="s">
        <v>198</v>
      </c>
      <c r="C68" s="1" t="s">
        <v>296</v>
      </c>
      <c r="D68" s="2" t="str">
        <f t="shared" si="2"/>
        <v>579-1200</v>
      </c>
      <c r="E68" s="2" t="str">
        <f t="shared" si="3"/>
        <v>ELE-PNL-001</v>
      </c>
      <c r="F68" s="2" t="s">
        <v>54</v>
      </c>
      <c r="G68" s="2" t="s">
        <v>46</v>
      </c>
      <c r="H68" s="2" t="str">
        <f>_xlfn.XLOOKUP(Table6[[#This Row],[Description]],[1]Class!$A$4:$A$660,[1]Class!$G$4:$G$660,"",0,1)</f>
        <v>Fault</v>
      </c>
      <c r="I68" s="2" t="s">
        <v>28</v>
      </c>
      <c r="J68" s="1" t="s">
        <v>55</v>
      </c>
      <c r="K68" s="11">
        <v>45250</v>
      </c>
      <c r="L68" s="1" t="s">
        <v>30</v>
      </c>
      <c r="M68" s="1" t="s">
        <v>31</v>
      </c>
      <c r="N68" s="12">
        <v>2.0099999999999998</v>
      </c>
      <c r="O68" s="13">
        <f>TIMEVALUE([1]!Table1[[#This Row],[Malfunction end]])-TIMEVALUE([1]!Table1[[#This Row],[Start Malfn (T)]])</f>
        <v>1.0925925925925922E-2</v>
      </c>
      <c r="P68" s="11">
        <v>45250</v>
      </c>
      <c r="Q68" s="1" t="s">
        <v>323</v>
      </c>
      <c r="R68" s="11">
        <v>45250</v>
      </c>
      <c r="S68" s="1" t="s">
        <v>324</v>
      </c>
      <c r="T68" s="1" t="s">
        <v>34</v>
      </c>
      <c r="U68" s="14" t="s">
        <v>58</v>
      </c>
    </row>
    <row r="69" spans="1:21" x14ac:dyDescent="0.25">
      <c r="A69" s="5" t="s">
        <v>325</v>
      </c>
      <c r="B69" s="3" t="s">
        <v>326</v>
      </c>
      <c r="C69" s="3" t="s">
        <v>296</v>
      </c>
      <c r="D69" s="4" t="str">
        <f t="shared" si="2"/>
        <v>579-1200</v>
      </c>
      <c r="E69" s="4" t="str">
        <f t="shared" si="3"/>
        <v>ELE-PNL-001</v>
      </c>
      <c r="F69" s="4" t="s">
        <v>54</v>
      </c>
      <c r="G69" s="4" t="s">
        <v>54</v>
      </c>
      <c r="H69" s="4" t="str">
        <f>_xlfn.XLOOKUP(Table6[[#This Row],[Description]],[1]Class!$A$4:$A$660,[1]Class!$G$4:$G$660,"",0,1)</f>
        <v/>
      </c>
      <c r="I69" s="4" t="s">
        <v>28</v>
      </c>
      <c r="J69" s="3" t="s">
        <v>47</v>
      </c>
      <c r="K69" s="15">
        <v>45539</v>
      </c>
      <c r="L69" s="3" t="s">
        <v>30</v>
      </c>
      <c r="M69" s="3" t="s">
        <v>31</v>
      </c>
      <c r="N69" s="16">
        <v>0.6</v>
      </c>
      <c r="O69" s="17">
        <f>TIMEVALUE([1]!Table1[[#This Row],[Malfunction end]])-TIMEVALUE([1]!Table1[[#This Row],[Start Malfn (T)]])</f>
        <v>2.0833333333333315E-2</v>
      </c>
      <c r="P69" s="15">
        <v>45539</v>
      </c>
      <c r="Q69" s="3" t="s">
        <v>327</v>
      </c>
      <c r="R69" s="15">
        <v>45540</v>
      </c>
      <c r="S69" s="3" t="s">
        <v>328</v>
      </c>
      <c r="T69" s="3" t="s">
        <v>34</v>
      </c>
      <c r="U69" s="18" t="s">
        <v>58</v>
      </c>
    </row>
    <row r="70" spans="1:21" x14ac:dyDescent="0.25">
      <c r="A70" s="5" t="s">
        <v>329</v>
      </c>
      <c r="B70" s="1" t="s">
        <v>179</v>
      </c>
      <c r="C70" s="1" t="s">
        <v>330</v>
      </c>
      <c r="D70" s="2" t="str">
        <f t="shared" si="2"/>
        <v>579-1200</v>
      </c>
      <c r="E70" s="2" t="str">
        <f t="shared" si="3"/>
        <v>ELE-PNL-002</v>
      </c>
      <c r="F70" s="2" t="s">
        <v>54</v>
      </c>
      <c r="G70" s="2" t="s">
        <v>54</v>
      </c>
      <c r="H70" s="2" t="str">
        <f>_xlfn.XLOOKUP(Table6[[#This Row],[Description]],[1]Class!$A$4:$A$660,[1]Class!$G$4:$G$660,"",0,1)</f>
        <v/>
      </c>
      <c r="I70" s="2" t="s">
        <v>28</v>
      </c>
      <c r="J70" s="1" t="s">
        <v>331</v>
      </c>
      <c r="K70" s="11">
        <v>45527</v>
      </c>
      <c r="L70" s="1" t="s">
        <v>30</v>
      </c>
      <c r="M70" s="1" t="s">
        <v>31</v>
      </c>
      <c r="N70" s="12">
        <v>0.63</v>
      </c>
      <c r="O70" s="13">
        <f>TIMEVALUE([1]!Table1[[#This Row],[Malfunction end]])-TIMEVALUE([1]!Table1[[#This Row],[Start Malfn (T)]])</f>
        <v>-0.77986111111111112</v>
      </c>
      <c r="P70" s="11">
        <v>45527</v>
      </c>
      <c r="Q70" s="1" t="s">
        <v>332</v>
      </c>
      <c r="R70" s="11">
        <v>45527</v>
      </c>
      <c r="S70" s="1" t="s">
        <v>333</v>
      </c>
      <c r="T70" s="1" t="s">
        <v>34</v>
      </c>
      <c r="U70" s="14" t="s">
        <v>58</v>
      </c>
    </row>
    <row r="71" spans="1:21" x14ac:dyDescent="0.25">
      <c r="A71" s="5" t="s">
        <v>334</v>
      </c>
      <c r="B71" s="3" t="s">
        <v>335</v>
      </c>
      <c r="C71" s="3" t="s">
        <v>330</v>
      </c>
      <c r="D71" s="4" t="str">
        <f t="shared" si="2"/>
        <v>579-1200</v>
      </c>
      <c r="E71" s="4" t="str">
        <f t="shared" si="3"/>
        <v>ELE-PNL-002</v>
      </c>
      <c r="F71" s="4" t="s">
        <v>54</v>
      </c>
      <c r="G71" s="4" t="s">
        <v>46</v>
      </c>
      <c r="H71" s="4" t="str">
        <f>_xlfn.XLOOKUP(Table6[[#This Row],[Description]],[1]Class!$A$4:$A$660,[1]Class!$G$4:$G$660,"",0,1)</f>
        <v>Blockchute</v>
      </c>
      <c r="I71" s="2" t="s">
        <v>28</v>
      </c>
      <c r="J71" s="3" t="s">
        <v>102</v>
      </c>
      <c r="K71" s="15">
        <v>45379</v>
      </c>
      <c r="L71" s="3" t="s">
        <v>30</v>
      </c>
      <c r="M71" s="3" t="s">
        <v>31</v>
      </c>
      <c r="N71" s="16">
        <v>3.17</v>
      </c>
      <c r="O71" s="17">
        <f>TIMEVALUE([1]!Table1[[#This Row],[Malfunction end]])-TIMEVALUE([1]!Table1[[#This Row],[Start Malfn (T)]])</f>
        <v>0.14583333333333331</v>
      </c>
      <c r="P71" s="15">
        <v>45379</v>
      </c>
      <c r="Q71" s="3" t="s">
        <v>136</v>
      </c>
      <c r="R71" s="15">
        <v>45379</v>
      </c>
      <c r="S71" s="3" t="s">
        <v>336</v>
      </c>
      <c r="T71" s="3" t="s">
        <v>34</v>
      </c>
      <c r="U71" s="18" t="s">
        <v>58</v>
      </c>
    </row>
    <row r="72" spans="1:21" x14ac:dyDescent="0.25">
      <c r="A72" s="5" t="s">
        <v>337</v>
      </c>
      <c r="B72" s="1" t="s">
        <v>338</v>
      </c>
      <c r="C72" s="1" t="s">
        <v>339</v>
      </c>
      <c r="D72" s="2" t="str">
        <f t="shared" si="2"/>
        <v>579-1200</v>
      </c>
      <c r="E72" s="2" t="str">
        <f t="shared" si="3"/>
        <v>INE-MET-001</v>
      </c>
      <c r="F72" s="2" t="s">
        <v>124</v>
      </c>
      <c r="G72" s="2" t="s">
        <v>46</v>
      </c>
      <c r="H72" s="2" t="str">
        <f>_xlfn.XLOOKUP(Table6[[#This Row],[Description]],[1]Class!$A$4:$A$660,[1]Class!$G$4:$G$660,"",0,1)</f>
        <v>Fault</v>
      </c>
      <c r="I72" s="4" t="s">
        <v>28</v>
      </c>
      <c r="J72" s="1" t="s">
        <v>47</v>
      </c>
      <c r="K72" s="11">
        <v>45382</v>
      </c>
      <c r="L72" s="1" t="s">
        <v>30</v>
      </c>
      <c r="M72" s="1" t="s">
        <v>31</v>
      </c>
      <c r="N72" s="12">
        <v>1.04</v>
      </c>
      <c r="O72" s="13">
        <f>TIMEVALUE([1]!Table1[[#This Row],[Malfunction end]])-TIMEVALUE([1]!Table1[[#This Row],[Start Malfn (T)]])</f>
        <v>-0.84016203703703707</v>
      </c>
      <c r="P72" s="11">
        <v>45381</v>
      </c>
      <c r="Q72" s="1" t="s">
        <v>340</v>
      </c>
      <c r="R72" s="11">
        <v>45382</v>
      </c>
      <c r="S72" s="1" t="s">
        <v>341</v>
      </c>
      <c r="T72" s="1" t="s">
        <v>34</v>
      </c>
      <c r="U72" s="14" t="s">
        <v>50</v>
      </c>
    </row>
    <row r="73" spans="1:21" x14ac:dyDescent="0.25">
      <c r="A73" s="5" t="s">
        <v>342</v>
      </c>
      <c r="B73" s="3" t="s">
        <v>343</v>
      </c>
      <c r="C73" s="3" t="s">
        <v>344</v>
      </c>
      <c r="D73" s="4" t="str">
        <f t="shared" si="2"/>
        <v>579-1200</v>
      </c>
      <c r="E73" s="4" t="str">
        <f t="shared" si="3"/>
        <v>INE-TSM-001</v>
      </c>
      <c r="F73" s="4" t="s">
        <v>124</v>
      </c>
      <c r="G73" s="4" t="s">
        <v>46</v>
      </c>
      <c r="H73" s="4" t="str">
        <f>_xlfn.XLOOKUP(Table6[[#This Row],[Description]],[1]Class!$A$4:$A$660,[1]Class!$G$4:$G$660,"",0,1)</f>
        <v>Blockchute</v>
      </c>
      <c r="I73" s="2" t="s">
        <v>28</v>
      </c>
      <c r="J73" s="3" t="s">
        <v>29</v>
      </c>
      <c r="K73" s="15">
        <v>45436</v>
      </c>
      <c r="L73" s="3" t="s">
        <v>171</v>
      </c>
      <c r="M73" s="3" t="s">
        <v>31</v>
      </c>
      <c r="N73" s="16">
        <v>0.87</v>
      </c>
      <c r="O73" s="17">
        <f>TIMEVALUE([1]!Table1[[#This Row],[Malfunction end]])-TIMEVALUE([1]!Table1[[#This Row],[Start Malfn (T)]])</f>
        <v>1.8055555555555547E-2</v>
      </c>
      <c r="P73" s="15">
        <v>45436</v>
      </c>
      <c r="Q73" s="3" t="s">
        <v>345</v>
      </c>
      <c r="R73" s="15">
        <v>45436</v>
      </c>
      <c r="S73" s="3" t="s">
        <v>346</v>
      </c>
      <c r="T73" s="3" t="s">
        <v>34</v>
      </c>
      <c r="U73" s="18" t="s">
        <v>50</v>
      </c>
    </row>
    <row r="74" spans="1:21" x14ac:dyDescent="0.25">
      <c r="A74" s="5" t="s">
        <v>347</v>
      </c>
      <c r="B74" s="1" t="s">
        <v>64</v>
      </c>
      <c r="C74" s="1" t="s">
        <v>344</v>
      </c>
      <c r="D74" s="2" t="str">
        <f t="shared" si="2"/>
        <v>579-1200</v>
      </c>
      <c r="E74" s="2" t="str">
        <f t="shared" si="3"/>
        <v>INE-TSM-001</v>
      </c>
      <c r="F74" s="2" t="s">
        <v>124</v>
      </c>
      <c r="G74" s="2" t="s">
        <v>46</v>
      </c>
      <c r="H74" s="2" t="str">
        <f>_xlfn.XLOOKUP(Table6[[#This Row],[Description]],[1]Class!$A$4:$A$660,[1]Class!$G$4:$G$660,"",0,1)</f>
        <v>Blockchute</v>
      </c>
      <c r="I74" s="2" t="s">
        <v>28</v>
      </c>
      <c r="J74" s="1" t="s">
        <v>29</v>
      </c>
      <c r="K74" s="11">
        <v>45383</v>
      </c>
      <c r="L74" s="1" t="s">
        <v>171</v>
      </c>
      <c r="M74" s="1" t="s">
        <v>31</v>
      </c>
      <c r="N74" s="12">
        <v>0.4</v>
      </c>
      <c r="O74" s="13">
        <f>TIMEVALUE([1]!Table1[[#This Row],[Malfunction end]])-TIMEVALUE([1]!Table1[[#This Row],[Start Malfn (T)]])</f>
        <v>-0.77916666666666667</v>
      </c>
      <c r="P74" s="11">
        <v>45383</v>
      </c>
      <c r="Q74" s="1" t="s">
        <v>348</v>
      </c>
      <c r="R74" s="11">
        <v>45383</v>
      </c>
      <c r="S74" s="1" t="s">
        <v>349</v>
      </c>
      <c r="T74" s="1" t="s">
        <v>34</v>
      </c>
      <c r="U74" s="14" t="s">
        <v>50</v>
      </c>
    </row>
    <row r="75" spans="1:21" x14ac:dyDescent="0.25">
      <c r="A75" s="19" t="s">
        <v>350</v>
      </c>
      <c r="B75" s="20" t="s">
        <v>351</v>
      </c>
      <c r="C75" s="20" t="s">
        <v>352</v>
      </c>
      <c r="D75" s="21" t="str">
        <f t="shared" si="2"/>
        <v>579-1400</v>
      </c>
      <c r="E75" t="str">
        <f t="shared" si="3"/>
        <v>BET-001</v>
      </c>
      <c r="F75" t="s">
        <v>26</v>
      </c>
      <c r="G75" t="s">
        <v>27</v>
      </c>
      <c r="H75" t="str">
        <f>_xlfn.XLOOKUP(Table6[[#This Row],[Description]],[1]Class!$A$4:$A$660,[1]Class!$G$4:$G$660,"",0,1)</f>
        <v>Skew</v>
      </c>
      <c r="I75" s="4" t="s">
        <v>28</v>
      </c>
      <c r="J75" s="20" t="s">
        <v>181</v>
      </c>
      <c r="K75" s="22">
        <v>44732</v>
      </c>
      <c r="L75" s="20" t="s">
        <v>30</v>
      </c>
      <c r="M75" s="20" t="s">
        <v>31</v>
      </c>
      <c r="N75" s="23">
        <v>0.47</v>
      </c>
      <c r="O75" s="24">
        <f>TIMEVALUE([1]!Table1[[#This Row],[Malfunction end]])-TIMEVALUE([1]!Table1[[#This Row],[Start Malfn (T)]])</f>
        <v>6.944444444444442E-2</v>
      </c>
      <c r="P75" s="22">
        <v>44731</v>
      </c>
      <c r="Q75" s="20" t="s">
        <v>353</v>
      </c>
      <c r="R75" s="22">
        <v>44731</v>
      </c>
      <c r="S75" s="20" t="s">
        <v>354</v>
      </c>
      <c r="T75" s="20" t="s">
        <v>34</v>
      </c>
      <c r="U75" s="20" t="s">
        <v>35</v>
      </c>
    </row>
    <row r="76" spans="1:21" x14ac:dyDescent="0.25">
      <c r="A76" s="19" t="s">
        <v>355</v>
      </c>
      <c r="B76" s="20" t="s">
        <v>278</v>
      </c>
      <c r="C76" s="20" t="s">
        <v>352</v>
      </c>
      <c r="D76" t="str">
        <f t="shared" si="2"/>
        <v>579-1400</v>
      </c>
      <c r="E76" t="str">
        <f t="shared" si="3"/>
        <v>BET-001</v>
      </c>
      <c r="F76" t="s">
        <v>26</v>
      </c>
      <c r="G76" t="s">
        <v>46</v>
      </c>
      <c r="H76" t="str">
        <f>_xlfn.XLOOKUP(Table6[[#This Row],[Description]],[1]Class!$A$4:$A$660,[1]Class!$G$4:$G$660,"",0,1)</f>
        <v>Lockout</v>
      </c>
      <c r="I76" s="2" t="s">
        <v>28</v>
      </c>
      <c r="J76" s="20" t="s">
        <v>39</v>
      </c>
      <c r="K76" s="22">
        <v>45499</v>
      </c>
      <c r="L76" s="20" t="s">
        <v>30</v>
      </c>
      <c r="M76" s="20" t="s">
        <v>31</v>
      </c>
      <c r="N76" s="23">
        <v>0.33</v>
      </c>
      <c r="O76" s="24">
        <f>TIMEVALUE([1]!Table1[[#This Row],[Malfunction end]])-TIMEVALUE([1]!Table1[[#This Row],[Start Malfn (T)]])</f>
        <v>0.12430555555555556</v>
      </c>
      <c r="P76" s="22">
        <v>45499</v>
      </c>
      <c r="Q76" s="20" t="s">
        <v>356</v>
      </c>
      <c r="R76" s="22">
        <v>45499</v>
      </c>
      <c r="S76" s="20" t="s">
        <v>138</v>
      </c>
      <c r="T76" s="20" t="s">
        <v>34</v>
      </c>
      <c r="U76" s="20" t="s">
        <v>35</v>
      </c>
    </row>
    <row r="77" spans="1:21" x14ac:dyDescent="0.25">
      <c r="A77" s="19" t="s">
        <v>357</v>
      </c>
      <c r="B77" s="20" t="s">
        <v>358</v>
      </c>
      <c r="C77" s="20" t="s">
        <v>352</v>
      </c>
      <c r="D77" t="str">
        <f t="shared" si="2"/>
        <v>579-1400</v>
      </c>
      <c r="E77" t="str">
        <f t="shared" si="3"/>
        <v>BET-001</v>
      </c>
      <c r="F77" t="s">
        <v>26</v>
      </c>
      <c r="G77" t="s">
        <v>146</v>
      </c>
      <c r="H77" t="str">
        <f>_xlfn.XLOOKUP(Table6[[#This Row],[Description]],[1]Class!$A$4:$A$660,[1]Class!$G$4:$G$660,"",0,1)</f>
        <v/>
      </c>
      <c r="I77" s="2" t="s">
        <v>28</v>
      </c>
      <c r="J77" s="20" t="s">
        <v>142</v>
      </c>
      <c r="K77" s="22">
        <v>44434</v>
      </c>
      <c r="L77" s="20" t="s">
        <v>30</v>
      </c>
      <c r="M77" s="20" t="s">
        <v>31</v>
      </c>
      <c r="N77" s="23">
        <v>0.42</v>
      </c>
      <c r="O77" s="24">
        <f>TIMEVALUE([1]!Table1[[#This Row],[Malfunction end]])-TIMEVALUE([1]!Table1[[#This Row],[Start Malfn (T)]])</f>
        <v>0.17222222222222228</v>
      </c>
      <c r="P77" s="22">
        <v>44434</v>
      </c>
      <c r="Q77" s="20" t="s">
        <v>359</v>
      </c>
      <c r="R77" s="22">
        <v>44434</v>
      </c>
      <c r="S77" s="20" t="s">
        <v>360</v>
      </c>
      <c r="T77" s="20" t="s">
        <v>34</v>
      </c>
      <c r="U77" s="20" t="s">
        <v>35</v>
      </c>
    </row>
    <row r="78" spans="1:21" x14ac:dyDescent="0.25">
      <c r="A78" s="19" t="s">
        <v>361</v>
      </c>
      <c r="B78" s="20" t="s">
        <v>6</v>
      </c>
      <c r="C78" s="20" t="s">
        <v>352</v>
      </c>
      <c r="D78" t="str">
        <f t="shared" si="2"/>
        <v>579-1400</v>
      </c>
      <c r="E78" t="str">
        <f t="shared" si="3"/>
        <v>BET-001</v>
      </c>
      <c r="F78" t="s">
        <v>26</v>
      </c>
      <c r="G78" t="s">
        <v>27</v>
      </c>
      <c r="H78" t="str">
        <f>_xlfn.XLOOKUP(Table6[[#This Row],[Description]],[1]Class!$A$4:$A$660,[1]Class!$G$4:$G$660,"",0,1)</f>
        <v>Skew</v>
      </c>
      <c r="I78" s="4" t="s">
        <v>28</v>
      </c>
      <c r="J78" s="20" t="s">
        <v>29</v>
      </c>
      <c r="K78" s="22">
        <v>44220</v>
      </c>
      <c r="L78" s="20" t="s">
        <v>30</v>
      </c>
      <c r="M78" s="20" t="s">
        <v>31</v>
      </c>
      <c r="N78" s="23">
        <v>1.25</v>
      </c>
      <c r="O78" s="24">
        <f>TIMEVALUE([1]!Table1[[#This Row],[Malfunction end]])-TIMEVALUE([1]!Table1[[#This Row],[Start Malfn (T)]])</f>
        <v>4.3275462962963029E-2</v>
      </c>
      <c r="P78" s="22">
        <v>44220</v>
      </c>
      <c r="Q78" s="20" t="s">
        <v>362</v>
      </c>
      <c r="R78" s="22">
        <v>44220</v>
      </c>
      <c r="S78" s="20" t="s">
        <v>363</v>
      </c>
      <c r="T78" s="20" t="s">
        <v>34</v>
      </c>
      <c r="U78" s="20" t="s">
        <v>35</v>
      </c>
    </row>
    <row r="79" spans="1:21" x14ac:dyDescent="0.25">
      <c r="A79" s="19" t="s">
        <v>364</v>
      </c>
      <c r="B79" s="20" t="s">
        <v>278</v>
      </c>
      <c r="C79" s="20" t="s">
        <v>352</v>
      </c>
      <c r="D79" t="str">
        <f t="shared" si="2"/>
        <v>579-1400</v>
      </c>
      <c r="E79" t="str">
        <f t="shared" si="3"/>
        <v>BET-001</v>
      </c>
      <c r="F79" t="s">
        <v>26</v>
      </c>
      <c r="G79" t="s">
        <v>46</v>
      </c>
      <c r="H79" t="str">
        <f>_xlfn.XLOOKUP(Table6[[#This Row],[Description]],[1]Class!$A$4:$A$660,[1]Class!$G$4:$G$660,"",0,1)</f>
        <v>Lockout</v>
      </c>
      <c r="I79" s="2" t="s">
        <v>28</v>
      </c>
      <c r="J79" s="20" t="s">
        <v>39</v>
      </c>
      <c r="K79" s="22">
        <v>44314</v>
      </c>
      <c r="L79" s="20" t="s">
        <v>30</v>
      </c>
      <c r="M79" s="20" t="s">
        <v>31</v>
      </c>
      <c r="N79" s="23">
        <v>0.2</v>
      </c>
      <c r="O79" s="24">
        <f>TIMEVALUE([1]!Table1[[#This Row],[Malfunction end]])-TIMEVALUE([1]!Table1[[#This Row],[Start Malfn (T)]])</f>
        <v>8.8194444444444464E-2</v>
      </c>
      <c r="P79" s="22">
        <v>44314</v>
      </c>
      <c r="Q79" s="20" t="s">
        <v>365</v>
      </c>
      <c r="R79" s="22">
        <v>44314</v>
      </c>
      <c r="S79" s="20" t="s">
        <v>366</v>
      </c>
      <c r="T79" s="20" t="s">
        <v>34</v>
      </c>
      <c r="U79" s="20" t="s">
        <v>35</v>
      </c>
    </row>
    <row r="80" spans="1:21" x14ac:dyDescent="0.25">
      <c r="A80" s="19" t="s">
        <v>367</v>
      </c>
      <c r="B80" s="20" t="s">
        <v>114</v>
      </c>
      <c r="C80" s="20" t="s">
        <v>368</v>
      </c>
      <c r="D80" t="str">
        <f t="shared" si="2"/>
        <v>579-1400</v>
      </c>
      <c r="E80" t="str">
        <f t="shared" si="3"/>
        <v>ELE-PNL-001</v>
      </c>
      <c r="F80" t="s">
        <v>54</v>
      </c>
      <c r="G80" t="s">
        <v>46</v>
      </c>
      <c r="H80" t="str">
        <f>_xlfn.XLOOKUP(Table6[[#This Row],[Description]],[1]Class!$A$4:$A$660,[1]Class!$G$4:$G$660,"",0,1)</f>
        <v>Underspeed</v>
      </c>
      <c r="I80" s="2" t="s">
        <v>28</v>
      </c>
      <c r="J80" s="20" t="s">
        <v>55</v>
      </c>
      <c r="K80" s="22">
        <v>45250</v>
      </c>
      <c r="L80" s="20" t="s">
        <v>30</v>
      </c>
      <c r="M80" s="20" t="s">
        <v>31</v>
      </c>
      <c r="N80" s="23">
        <v>2.0099999999999998</v>
      </c>
      <c r="O80" s="24">
        <f>TIMEVALUE([1]!Table1[[#This Row],[Malfunction end]])-TIMEVALUE([1]!Table1[[#This Row],[Start Malfn (T)]])</f>
        <v>-0.66249999999999998</v>
      </c>
      <c r="P80" s="22">
        <v>45250</v>
      </c>
      <c r="Q80" s="20" t="s">
        <v>369</v>
      </c>
      <c r="R80" s="22">
        <v>45250</v>
      </c>
      <c r="S80" s="20" t="s">
        <v>370</v>
      </c>
      <c r="T80" s="20" t="s">
        <v>34</v>
      </c>
      <c r="U80" s="20" t="s">
        <v>58</v>
      </c>
    </row>
    <row r="81" spans="1:21" x14ac:dyDescent="0.25">
      <c r="A81" s="19" t="s">
        <v>371</v>
      </c>
      <c r="B81" s="20" t="s">
        <v>372</v>
      </c>
      <c r="C81" s="20" t="s">
        <v>368</v>
      </c>
      <c r="D81" t="str">
        <f t="shared" si="2"/>
        <v>579-1400</v>
      </c>
      <c r="E81" t="str">
        <f t="shared" si="3"/>
        <v>ELE-PNL-001</v>
      </c>
      <c r="F81" t="s">
        <v>54</v>
      </c>
      <c r="G81" t="s">
        <v>46</v>
      </c>
      <c r="H81" t="str">
        <f>_xlfn.XLOOKUP(Table6[[#This Row],[Description]],[1]Class!$A$4:$A$660,[1]Class!$G$4:$G$660,"",0,1)</f>
        <v>Safety</v>
      </c>
      <c r="I81" s="4" t="s">
        <v>28</v>
      </c>
      <c r="J81" s="20" t="s">
        <v>373</v>
      </c>
      <c r="K81" s="22">
        <v>44287</v>
      </c>
      <c r="L81" s="20" t="s">
        <v>30</v>
      </c>
      <c r="M81" s="20" t="s">
        <v>31</v>
      </c>
      <c r="N81" s="23">
        <v>1.02</v>
      </c>
      <c r="O81" s="24">
        <f>TIMEVALUE([1]!Table1[[#This Row],[Malfunction end]])-TIMEVALUE([1]!Table1[[#This Row],[Start Malfn (T)]])</f>
        <v>1.0416666666666741E-2</v>
      </c>
      <c r="P81" s="22">
        <v>44286</v>
      </c>
      <c r="Q81" s="20" t="s">
        <v>374</v>
      </c>
      <c r="R81" s="22">
        <v>44286</v>
      </c>
      <c r="S81" s="20" t="s">
        <v>41</v>
      </c>
      <c r="T81" s="20" t="s">
        <v>34</v>
      </c>
      <c r="U81" s="20" t="s">
        <v>58</v>
      </c>
    </row>
    <row r="82" spans="1:21" x14ac:dyDescent="0.25">
      <c r="A82" s="19" t="s">
        <v>375</v>
      </c>
      <c r="B82" s="20" t="s">
        <v>376</v>
      </c>
      <c r="C82" s="20" t="s">
        <v>368</v>
      </c>
      <c r="D82" t="str">
        <f t="shared" si="2"/>
        <v>579-1400</v>
      </c>
      <c r="E82" t="str">
        <f t="shared" si="3"/>
        <v>ELE-PNL-001</v>
      </c>
      <c r="F82" t="s">
        <v>54</v>
      </c>
      <c r="G82" t="s">
        <v>46</v>
      </c>
      <c r="H82" t="str">
        <f>_xlfn.XLOOKUP(Table6[[#This Row],[Description]],[1]Class!$A$4:$A$660,[1]Class!$G$4:$G$660,"",0,1)</f>
        <v>Underspeed</v>
      </c>
      <c r="I82" s="2" t="s">
        <v>28</v>
      </c>
      <c r="J82" s="20" t="s">
        <v>29</v>
      </c>
      <c r="K82" s="22">
        <v>45511</v>
      </c>
      <c r="L82" s="20" t="s">
        <v>30</v>
      </c>
      <c r="M82" s="20" t="s">
        <v>31</v>
      </c>
      <c r="N82" s="23">
        <v>0.28999999999999998</v>
      </c>
      <c r="O82" s="24">
        <f>TIMEVALUE([1]!Table1[[#This Row],[Malfunction end]])-TIMEVALUE([1]!Table1[[#This Row],[Start Malfn (T)]])</f>
        <v>1.6666666666666718E-2</v>
      </c>
      <c r="P82" s="22">
        <v>45511</v>
      </c>
      <c r="Q82" s="20" t="s">
        <v>377</v>
      </c>
      <c r="R82" s="22">
        <v>45511</v>
      </c>
      <c r="S82" s="20" t="s">
        <v>378</v>
      </c>
      <c r="T82" s="20" t="s">
        <v>34</v>
      </c>
      <c r="U82" s="20" t="s">
        <v>58</v>
      </c>
    </row>
    <row r="83" spans="1:21" x14ac:dyDescent="0.25">
      <c r="A83" s="19" t="s">
        <v>379</v>
      </c>
      <c r="B83" s="20" t="s">
        <v>380</v>
      </c>
      <c r="C83" s="20" t="s">
        <v>368</v>
      </c>
      <c r="D83" t="str">
        <f t="shared" si="2"/>
        <v>579-1400</v>
      </c>
      <c r="E83" t="str">
        <f t="shared" si="3"/>
        <v>ELE-PNL-001</v>
      </c>
      <c r="F83" t="s">
        <v>54</v>
      </c>
      <c r="G83" t="s">
        <v>26</v>
      </c>
      <c r="H83" t="str">
        <f>_xlfn.XLOOKUP(Table6[[#This Row],[Description]],[1]Class!$A$4:$A$660,[1]Class!$G$4:$G$660,"",0,1)</f>
        <v/>
      </c>
      <c r="I83" s="2" t="s">
        <v>28</v>
      </c>
      <c r="J83" s="20" t="s">
        <v>47</v>
      </c>
      <c r="K83" s="22">
        <v>45226</v>
      </c>
      <c r="L83" s="20" t="s">
        <v>30</v>
      </c>
      <c r="M83" s="20" t="s">
        <v>31</v>
      </c>
      <c r="N83" s="23">
        <v>3.28</v>
      </c>
      <c r="O83" s="24">
        <f>TIMEVALUE([1]!Table1[[#This Row],[Malfunction end]])-TIMEVALUE([1]!Table1[[#This Row],[Start Malfn (T)]])</f>
        <v>2.5000000000000022E-2</v>
      </c>
      <c r="P83" s="22">
        <v>45226</v>
      </c>
      <c r="Q83" s="20" t="s">
        <v>381</v>
      </c>
      <c r="R83" s="22">
        <v>45226</v>
      </c>
      <c r="S83" s="20" t="s">
        <v>382</v>
      </c>
      <c r="T83" s="20" t="s">
        <v>34</v>
      </c>
      <c r="U83" s="20" t="s">
        <v>50</v>
      </c>
    </row>
    <row r="84" spans="1:21" x14ac:dyDescent="0.25">
      <c r="A84" s="19" t="s">
        <v>383</v>
      </c>
      <c r="B84" s="20" t="s">
        <v>384</v>
      </c>
      <c r="C84" s="20" t="s">
        <v>385</v>
      </c>
      <c r="D84" t="str">
        <f t="shared" si="2"/>
        <v>579-1400</v>
      </c>
      <c r="E84" t="str">
        <f t="shared" si="3"/>
        <v>ELE-PNL-002</v>
      </c>
      <c r="F84" t="s">
        <v>54</v>
      </c>
      <c r="G84" t="s">
        <v>46</v>
      </c>
      <c r="H84" t="str">
        <f>_xlfn.XLOOKUP(Table6[[#This Row],[Description]],[1]Class!$A$4:$A$660,[1]Class!$G$4:$G$660,"",0,1)</f>
        <v>Blockchute</v>
      </c>
      <c r="I84" s="4" t="s">
        <v>28</v>
      </c>
      <c r="J84" s="20" t="s">
        <v>74</v>
      </c>
      <c r="K84" s="22">
        <v>45467</v>
      </c>
      <c r="L84" s="20" t="s">
        <v>171</v>
      </c>
      <c r="M84" s="20" t="s">
        <v>31</v>
      </c>
      <c r="N84" s="23">
        <v>0.87</v>
      </c>
      <c r="O84" s="24">
        <f>TIMEVALUE([1]!Table1[[#This Row],[Malfunction end]])-TIMEVALUE([1]!Table1[[#This Row],[Start Malfn (T)]])</f>
        <v>2.0833333333333332E-2</v>
      </c>
      <c r="P84" s="22">
        <v>45467</v>
      </c>
      <c r="Q84" s="20" t="s">
        <v>386</v>
      </c>
      <c r="R84" s="22">
        <v>45467</v>
      </c>
      <c r="S84" s="20" t="s">
        <v>41</v>
      </c>
      <c r="T84" s="20" t="s">
        <v>34</v>
      </c>
      <c r="U84" s="20" t="s">
        <v>50</v>
      </c>
    </row>
    <row r="85" spans="1:21" x14ac:dyDescent="0.25">
      <c r="A85" s="19" t="s">
        <v>387</v>
      </c>
      <c r="B85" s="20" t="s">
        <v>388</v>
      </c>
      <c r="C85" s="20" t="s">
        <v>385</v>
      </c>
      <c r="D85" t="str">
        <f t="shared" si="2"/>
        <v>579-1400</v>
      </c>
      <c r="E85" t="str">
        <f t="shared" si="3"/>
        <v>ELE-PNL-002</v>
      </c>
      <c r="F85" t="s">
        <v>54</v>
      </c>
      <c r="G85" t="s">
        <v>46</v>
      </c>
      <c r="H85" t="str">
        <f>_xlfn.XLOOKUP(Table6[[#This Row],[Description]],[1]Class!$A$4:$A$660,[1]Class!$G$4:$G$660,"",0,1)</f>
        <v>Limit</v>
      </c>
      <c r="I85" s="2" t="s">
        <v>28</v>
      </c>
      <c r="J85" s="20" t="s">
        <v>47</v>
      </c>
      <c r="K85" s="22">
        <v>44430</v>
      </c>
      <c r="L85" s="20" t="s">
        <v>30</v>
      </c>
      <c r="M85" s="20" t="s">
        <v>31</v>
      </c>
      <c r="N85" s="23">
        <v>0.41</v>
      </c>
      <c r="O85" s="24">
        <f>TIMEVALUE([1]!Table1[[#This Row],[Malfunction end]])-TIMEVALUE([1]!Table1[[#This Row],[Start Malfn (T)]])</f>
        <v>1.3483796296296258E-2</v>
      </c>
      <c r="P85" s="22">
        <v>44430</v>
      </c>
      <c r="Q85" s="20" t="s">
        <v>389</v>
      </c>
      <c r="R85" s="22">
        <v>44430</v>
      </c>
      <c r="S85" s="20" t="s">
        <v>390</v>
      </c>
      <c r="T85" s="20" t="s">
        <v>34</v>
      </c>
      <c r="U85" s="20" t="s">
        <v>58</v>
      </c>
    </row>
    <row r="86" spans="1:21" x14ac:dyDescent="0.25">
      <c r="A86" s="19" t="s">
        <v>391</v>
      </c>
      <c r="B86" s="20" t="s">
        <v>114</v>
      </c>
      <c r="C86" s="20" t="s">
        <v>392</v>
      </c>
      <c r="D86" t="str">
        <f t="shared" si="2"/>
        <v>579-1400</v>
      </c>
      <c r="E86" t="str">
        <f t="shared" si="3"/>
        <v>ELE-SWH-001</v>
      </c>
      <c r="F86" t="s">
        <v>54</v>
      </c>
      <c r="G86" t="s">
        <v>46</v>
      </c>
      <c r="H86" t="str">
        <f>_xlfn.XLOOKUP(Table6[[#This Row],[Description]],[1]Class!$A$4:$A$660,[1]Class!$G$4:$G$660,"",0,1)</f>
        <v>Underspeed</v>
      </c>
      <c r="I86" s="2" t="s">
        <v>28</v>
      </c>
      <c r="J86" s="20" t="s">
        <v>47</v>
      </c>
      <c r="K86" s="22">
        <v>44445</v>
      </c>
      <c r="L86" s="20" t="s">
        <v>30</v>
      </c>
      <c r="M86" s="20" t="s">
        <v>31</v>
      </c>
      <c r="N86" s="23">
        <v>0.44</v>
      </c>
      <c r="O86" s="24">
        <f>TIMEVALUE([1]!Table1[[#This Row],[Malfunction end]])-TIMEVALUE([1]!Table1[[#This Row],[Start Malfn (T)]])</f>
        <v>2.9490740740740762E-2</v>
      </c>
      <c r="P86" s="22">
        <v>44445</v>
      </c>
      <c r="Q86" s="20" t="s">
        <v>393</v>
      </c>
      <c r="R86" s="22">
        <v>44445</v>
      </c>
      <c r="S86" s="20" t="s">
        <v>394</v>
      </c>
      <c r="T86" s="20" t="s">
        <v>34</v>
      </c>
      <c r="U86" s="20" t="s">
        <v>58</v>
      </c>
    </row>
    <row r="87" spans="1:21" x14ac:dyDescent="0.25">
      <c r="A87" s="19" t="s">
        <v>395</v>
      </c>
      <c r="B87" s="20" t="s">
        <v>114</v>
      </c>
      <c r="C87" s="20" t="s">
        <v>392</v>
      </c>
      <c r="D87" t="str">
        <f t="shared" si="2"/>
        <v>579-1400</v>
      </c>
      <c r="E87" t="str">
        <f t="shared" si="3"/>
        <v>ELE-SWH-001</v>
      </c>
      <c r="F87" t="s">
        <v>54</v>
      </c>
      <c r="G87" t="s">
        <v>46</v>
      </c>
      <c r="H87" t="str">
        <f>_xlfn.XLOOKUP(Table6[[#This Row],[Description]],[1]Class!$A$4:$A$660,[1]Class!$G$4:$G$660,"",0,1)</f>
        <v>Underspeed</v>
      </c>
      <c r="I87" s="4" t="s">
        <v>28</v>
      </c>
      <c r="J87" s="20" t="s">
        <v>47</v>
      </c>
      <c r="K87" s="22">
        <v>44261</v>
      </c>
      <c r="L87" s="20" t="s">
        <v>30</v>
      </c>
      <c r="M87" s="20" t="s">
        <v>31</v>
      </c>
      <c r="N87" s="23">
        <v>1.06</v>
      </c>
      <c r="O87" s="24">
        <f>TIMEVALUE([1]!Table1[[#This Row],[Malfunction end]])-TIMEVALUE([1]!Table1[[#This Row],[Start Malfn (T)]])</f>
        <v>3.4768518518518476E-2</v>
      </c>
      <c r="P87" s="22">
        <v>44261</v>
      </c>
      <c r="Q87" s="20" t="s">
        <v>396</v>
      </c>
      <c r="R87" s="22">
        <v>44261</v>
      </c>
      <c r="S87" s="20" t="s">
        <v>397</v>
      </c>
      <c r="T87" s="20" t="s">
        <v>34</v>
      </c>
      <c r="U87" s="20" t="s">
        <v>58</v>
      </c>
    </row>
    <row r="88" spans="1:21" x14ac:dyDescent="0.25">
      <c r="A88" s="19" t="s">
        <v>398</v>
      </c>
      <c r="B88" s="20" t="s">
        <v>399</v>
      </c>
      <c r="C88" s="20" t="s">
        <v>400</v>
      </c>
      <c r="D88" t="str">
        <f t="shared" si="2"/>
        <v>579-1400</v>
      </c>
      <c r="E88" t="str">
        <f t="shared" si="3"/>
        <v>INE-DTE-002</v>
      </c>
      <c r="F88" t="s">
        <v>124</v>
      </c>
      <c r="G88" t="s">
        <v>46</v>
      </c>
      <c r="H88" t="str">
        <f>_xlfn.XLOOKUP(Table6[[#This Row],[Description]],[1]Class!$A$4:$A$660,[1]Class!$G$4:$G$660,"",0,1)</f>
        <v>Blockchute</v>
      </c>
      <c r="I88" s="2" t="s">
        <v>28</v>
      </c>
      <c r="J88" s="20" t="s">
        <v>373</v>
      </c>
      <c r="K88" s="22">
        <v>44899</v>
      </c>
      <c r="L88" s="20" t="s">
        <v>30</v>
      </c>
      <c r="M88" s="20" t="s">
        <v>31</v>
      </c>
      <c r="N88" s="23">
        <v>0.78</v>
      </c>
      <c r="O88" s="24">
        <f>TIMEVALUE([1]!Table1[[#This Row],[Malfunction end]])-TIMEVALUE([1]!Table1[[#This Row],[Start Malfn (T)]])</f>
        <v>0.18282407407407408</v>
      </c>
      <c r="P88" s="22">
        <v>44899</v>
      </c>
      <c r="Q88" s="20" t="s">
        <v>401</v>
      </c>
      <c r="R88" s="22">
        <v>44899</v>
      </c>
      <c r="S88" s="20" t="s">
        <v>108</v>
      </c>
      <c r="T88" s="20" t="s">
        <v>34</v>
      </c>
      <c r="U88" s="20" t="s">
        <v>50</v>
      </c>
    </row>
    <row r="89" spans="1:21" x14ac:dyDescent="0.25">
      <c r="A89" s="19" t="s">
        <v>402</v>
      </c>
      <c r="B89" s="20" t="s">
        <v>110</v>
      </c>
      <c r="C89" s="20" t="s">
        <v>400</v>
      </c>
      <c r="D89" t="str">
        <f t="shared" si="2"/>
        <v>579-1400</v>
      </c>
      <c r="E89" t="str">
        <f t="shared" si="3"/>
        <v>INE-DTE-002</v>
      </c>
      <c r="F89" t="s">
        <v>124</v>
      </c>
      <c r="G89" t="s">
        <v>46</v>
      </c>
      <c r="H89" t="str">
        <f>_xlfn.XLOOKUP(Table6[[#This Row],[Description]],[1]Class!$A$4:$A$660,[1]Class!$G$4:$G$660,"",0,1)</f>
        <v>Blockchute</v>
      </c>
      <c r="I89" s="2" t="s">
        <v>28</v>
      </c>
      <c r="J89" s="20" t="s">
        <v>102</v>
      </c>
      <c r="K89" s="22">
        <v>45098</v>
      </c>
      <c r="L89" s="20" t="s">
        <v>30</v>
      </c>
      <c r="M89" s="20" t="s">
        <v>31</v>
      </c>
      <c r="N89" s="23">
        <v>4.83</v>
      </c>
      <c r="O89" s="24">
        <f>TIMEVALUE([1]!Table1[[#This Row],[Malfunction end]])-TIMEVALUE([1]!Table1[[#This Row],[Start Malfn (T)]])</f>
        <v>3.9293981481481499E-2</v>
      </c>
      <c r="P89" s="22">
        <v>45098</v>
      </c>
      <c r="Q89" s="20" t="s">
        <v>403</v>
      </c>
      <c r="R89" s="22">
        <v>45098</v>
      </c>
      <c r="S89" s="20" t="s">
        <v>404</v>
      </c>
      <c r="T89" s="20" t="s">
        <v>34</v>
      </c>
      <c r="U89" s="20" t="s">
        <v>50</v>
      </c>
    </row>
    <row r="90" spans="1:21" x14ac:dyDescent="0.25">
      <c r="A90" s="5" t="s">
        <v>405</v>
      </c>
      <c r="B90" s="1" t="s">
        <v>406</v>
      </c>
      <c r="C90" s="1" t="s">
        <v>407</v>
      </c>
      <c r="D90" s="10" t="str">
        <f t="shared" si="2"/>
        <v>579-4400</v>
      </c>
      <c r="E90" s="2" t="str">
        <f t="shared" si="3"/>
        <v>BET-001</v>
      </c>
      <c r="F90" s="2" t="s">
        <v>26</v>
      </c>
      <c r="G90" s="2" t="s">
        <v>46</v>
      </c>
      <c r="H90" s="2" t="str">
        <f>_xlfn.XLOOKUP(Table6[[#This Row],[Description]],[1]Class!$A$4:$A$660,[1]Class!$G$4:$G$660,"",0,1)</f>
        <v>Fault</v>
      </c>
      <c r="I90" s="4" t="s">
        <v>28</v>
      </c>
      <c r="J90" s="1" t="s">
        <v>408</v>
      </c>
      <c r="K90" s="11">
        <v>45159</v>
      </c>
      <c r="L90" s="1" t="s">
        <v>30</v>
      </c>
      <c r="M90" s="1" t="s">
        <v>31</v>
      </c>
      <c r="N90" s="12">
        <v>0.82</v>
      </c>
      <c r="O90" s="13">
        <f>TIMEVALUE([1]!Table1[[#This Row],[Malfunction end]])-TIMEVALUE([1]!Table1[[#This Row],[Start Malfn (T)]])</f>
        <v>6.8055555555555536E-2</v>
      </c>
      <c r="P90" s="11">
        <v>45159</v>
      </c>
      <c r="Q90" s="1" t="s">
        <v>409</v>
      </c>
      <c r="R90" s="11">
        <v>45159</v>
      </c>
      <c r="S90" s="1" t="s">
        <v>410</v>
      </c>
      <c r="T90" s="1" t="s">
        <v>34</v>
      </c>
      <c r="U90" s="14" t="s">
        <v>411</v>
      </c>
    </row>
    <row r="91" spans="1:21" x14ac:dyDescent="0.25">
      <c r="A91" s="5" t="s">
        <v>412</v>
      </c>
      <c r="B91" s="3" t="s">
        <v>413</v>
      </c>
      <c r="C91" s="3" t="s">
        <v>407</v>
      </c>
      <c r="D91" s="4" t="str">
        <f t="shared" si="2"/>
        <v>579-4400</v>
      </c>
      <c r="E91" s="4" t="str">
        <f t="shared" si="3"/>
        <v>BET-001</v>
      </c>
      <c r="F91" s="4" t="s">
        <v>26</v>
      </c>
      <c r="G91" s="4" t="s">
        <v>414</v>
      </c>
      <c r="H91" s="4" t="str">
        <f>_xlfn.XLOOKUP(Table6[[#This Row],[Description]],[1]Class!$A$4:$A$660,[1]Class!$G$4:$G$660,"",0,1)</f>
        <v/>
      </c>
      <c r="I91" s="2" t="s">
        <v>28</v>
      </c>
      <c r="J91" s="3" t="s">
        <v>29</v>
      </c>
      <c r="K91" s="15">
        <v>45425</v>
      </c>
      <c r="L91" s="3" t="s">
        <v>30</v>
      </c>
      <c r="M91" s="3" t="s">
        <v>31</v>
      </c>
      <c r="N91" s="16">
        <v>0.61</v>
      </c>
      <c r="O91" s="17">
        <f>TIMEVALUE([1]!Table1[[#This Row],[Malfunction end]])-TIMEVALUE([1]!Table1[[#This Row],[Start Malfn (T)]])</f>
        <v>6.9791666666666669E-2</v>
      </c>
      <c r="P91" s="15">
        <v>45425</v>
      </c>
      <c r="Q91" s="3" t="s">
        <v>415</v>
      </c>
      <c r="R91" s="15">
        <v>45425</v>
      </c>
      <c r="S91" s="3" t="s">
        <v>416</v>
      </c>
      <c r="T91" s="3" t="s">
        <v>34</v>
      </c>
      <c r="U91" s="18" t="s">
        <v>411</v>
      </c>
    </row>
    <row r="92" spans="1:21" x14ac:dyDescent="0.25">
      <c r="A92" s="5" t="s">
        <v>417</v>
      </c>
      <c r="B92" s="1" t="s">
        <v>418</v>
      </c>
      <c r="C92" s="1" t="s">
        <v>407</v>
      </c>
      <c r="D92" s="2" t="str">
        <f t="shared" si="2"/>
        <v>579-4400</v>
      </c>
      <c r="E92" s="2" t="str">
        <f t="shared" si="3"/>
        <v>BET-001</v>
      </c>
      <c r="F92" s="2" t="s">
        <v>26</v>
      </c>
      <c r="G92" s="2" t="s">
        <v>46</v>
      </c>
      <c r="H92" s="2" t="str">
        <f>_xlfn.XLOOKUP(Table6[[#This Row],[Description]],[1]Class!$A$4:$A$660,[1]Class!$G$4:$G$660,"",0,1)</f>
        <v>Tear</v>
      </c>
      <c r="I92" s="2" t="s">
        <v>28</v>
      </c>
      <c r="J92" s="1" t="s">
        <v>408</v>
      </c>
      <c r="K92" s="11">
        <v>44585</v>
      </c>
      <c r="L92" s="1" t="s">
        <v>30</v>
      </c>
      <c r="M92" s="1" t="s">
        <v>31</v>
      </c>
      <c r="N92" s="12">
        <v>1.07</v>
      </c>
      <c r="O92" s="13">
        <f>TIMEVALUE([1]!Table1[[#This Row],[Malfunction end]])-TIMEVALUE([1]!Table1[[#This Row],[Start Malfn (T)]])</f>
        <v>1.4212962962962927E-2</v>
      </c>
      <c r="P92" s="11">
        <v>44584</v>
      </c>
      <c r="Q92" s="1" t="s">
        <v>419</v>
      </c>
      <c r="R92" s="11">
        <v>44585</v>
      </c>
      <c r="S92" s="1" t="s">
        <v>420</v>
      </c>
      <c r="T92" s="1" t="s">
        <v>34</v>
      </c>
      <c r="U92" s="14" t="s">
        <v>411</v>
      </c>
    </row>
    <row r="93" spans="1:21" x14ac:dyDescent="0.25">
      <c r="A93" s="5" t="s">
        <v>421</v>
      </c>
      <c r="B93" s="3" t="s">
        <v>422</v>
      </c>
      <c r="C93" s="3" t="s">
        <v>407</v>
      </c>
      <c r="D93" s="4" t="str">
        <f t="shared" si="2"/>
        <v>579-4400</v>
      </c>
      <c r="E93" s="4" t="str">
        <f t="shared" si="3"/>
        <v>BET-001</v>
      </c>
      <c r="F93" s="4" t="s">
        <v>26</v>
      </c>
      <c r="G93" s="4" t="s">
        <v>27</v>
      </c>
      <c r="H93" s="4" t="str">
        <f>_xlfn.XLOOKUP(Table6[[#This Row],[Description]],[1]Class!$A$4:$A$660,[1]Class!$G$4:$G$660,"",0,1)</f>
        <v>Skew - Head</v>
      </c>
      <c r="I93" s="4" t="s">
        <v>28</v>
      </c>
      <c r="J93" s="3" t="s">
        <v>47</v>
      </c>
      <c r="K93" s="15">
        <v>44751</v>
      </c>
      <c r="L93" s="3" t="s">
        <v>30</v>
      </c>
      <c r="M93" s="3" t="s">
        <v>31</v>
      </c>
      <c r="N93" s="16">
        <v>0.69</v>
      </c>
      <c r="O93" s="17">
        <f>TIMEVALUE([1]!Table1[[#This Row],[Malfunction end]])-TIMEVALUE([1]!Table1[[#This Row],[Start Malfn (T)]])</f>
        <v>2.083333333333337E-2</v>
      </c>
      <c r="P93" s="15">
        <v>44751</v>
      </c>
      <c r="Q93" s="3" t="s">
        <v>423</v>
      </c>
      <c r="R93" s="15">
        <v>44751</v>
      </c>
      <c r="S93" s="3" t="s">
        <v>424</v>
      </c>
      <c r="T93" s="3" t="s">
        <v>34</v>
      </c>
      <c r="U93" s="18" t="s">
        <v>411</v>
      </c>
    </row>
    <row r="94" spans="1:21" x14ac:dyDescent="0.25">
      <c r="A94" s="5" t="s">
        <v>425</v>
      </c>
      <c r="B94" s="1" t="s">
        <v>426</v>
      </c>
      <c r="C94" s="1" t="s">
        <v>427</v>
      </c>
      <c r="D94" s="2" t="str">
        <f t="shared" si="2"/>
        <v>579-4400</v>
      </c>
      <c r="E94" s="2" t="str">
        <f t="shared" si="3"/>
        <v>CHU-001</v>
      </c>
      <c r="F94" s="2" t="s">
        <v>45</v>
      </c>
      <c r="G94" s="2" t="s">
        <v>414</v>
      </c>
      <c r="H94" s="2" t="str">
        <f>_xlfn.XLOOKUP(Table6[[#This Row],[Description]],[1]Class!$A$4:$A$660,[1]Class!$G$4:$G$660,"",0,1)</f>
        <v/>
      </c>
      <c r="I94" s="2" t="s">
        <v>28</v>
      </c>
      <c r="J94" s="1" t="s">
        <v>47</v>
      </c>
      <c r="K94" s="11">
        <v>44322</v>
      </c>
      <c r="L94" s="1" t="s">
        <v>30</v>
      </c>
      <c r="M94" s="1" t="s">
        <v>31</v>
      </c>
      <c r="N94" s="12">
        <v>0.97</v>
      </c>
      <c r="O94" s="13">
        <f>TIMEVALUE([1]!Table1[[#This Row],[Malfunction end]])-TIMEVALUE([1]!Table1[[#This Row],[Start Malfn (T)]])</f>
        <v>2.0833333333333329E-2</v>
      </c>
      <c r="P94" s="11">
        <v>44322</v>
      </c>
      <c r="Q94" s="1" t="s">
        <v>428</v>
      </c>
      <c r="R94" s="11">
        <v>44322</v>
      </c>
      <c r="S94" s="1" t="s">
        <v>429</v>
      </c>
      <c r="T94" s="1" t="s">
        <v>34</v>
      </c>
      <c r="U94" s="14" t="s">
        <v>411</v>
      </c>
    </row>
    <row r="95" spans="1:21" x14ac:dyDescent="0.25">
      <c r="A95" s="5" t="s">
        <v>430</v>
      </c>
      <c r="B95" s="3" t="s">
        <v>431</v>
      </c>
      <c r="C95" s="3" t="s">
        <v>432</v>
      </c>
      <c r="D95" s="4" t="str">
        <f t="shared" si="2"/>
        <v>579-4400</v>
      </c>
      <c r="E95" s="4" t="str">
        <f t="shared" si="3"/>
        <v>ELE-PNL-001</v>
      </c>
      <c r="F95" s="4" t="s">
        <v>54</v>
      </c>
      <c r="G95" s="4" t="s">
        <v>46</v>
      </c>
      <c r="H95" s="4" t="str">
        <f>_xlfn.XLOOKUP(Table6[[#This Row],[Description]],[1]Class!$A$4:$A$660,[1]Class!$G$4:$G$660,"",0,1)</f>
        <v>Tear</v>
      </c>
      <c r="I95" s="2" t="s">
        <v>28</v>
      </c>
      <c r="J95" s="3" t="s">
        <v>29</v>
      </c>
      <c r="K95" s="15">
        <v>44727</v>
      </c>
      <c r="L95" s="3" t="s">
        <v>30</v>
      </c>
      <c r="M95" s="3" t="s">
        <v>31</v>
      </c>
      <c r="N95" s="16">
        <v>0.96</v>
      </c>
      <c r="O95" s="17">
        <f>TIMEVALUE([1]!Table1[[#This Row],[Malfunction end]])-TIMEVALUE([1]!Table1[[#This Row],[Start Malfn (T)]])</f>
        <v>9.3206018518518535E-2</v>
      </c>
      <c r="P95" s="15">
        <v>44727</v>
      </c>
      <c r="Q95" s="3" t="s">
        <v>433</v>
      </c>
      <c r="R95" s="15">
        <v>44727</v>
      </c>
      <c r="S95" s="3" t="s">
        <v>434</v>
      </c>
      <c r="T95" s="3" t="s">
        <v>34</v>
      </c>
      <c r="U95" s="18" t="s">
        <v>58</v>
      </c>
    </row>
    <row r="96" spans="1:21" x14ac:dyDescent="0.25">
      <c r="A96" s="5" t="s">
        <v>435</v>
      </c>
      <c r="B96" s="1" t="s">
        <v>436</v>
      </c>
      <c r="C96" s="1" t="s">
        <v>432</v>
      </c>
      <c r="D96" s="2" t="str">
        <f t="shared" si="2"/>
        <v>579-4400</v>
      </c>
      <c r="E96" s="2" t="str">
        <f t="shared" si="3"/>
        <v>ELE-PNL-001</v>
      </c>
      <c r="F96" s="2" t="s">
        <v>54</v>
      </c>
      <c r="G96" s="2" t="s">
        <v>46</v>
      </c>
      <c r="H96" s="2" t="str">
        <f>_xlfn.XLOOKUP(Table6[[#This Row],[Description]],[1]Class!$A$4:$A$660,[1]Class!$G$4:$G$660,"",0,1)</f>
        <v>Safety</v>
      </c>
      <c r="I96" s="4" t="s">
        <v>28</v>
      </c>
      <c r="J96" s="1" t="s">
        <v>47</v>
      </c>
      <c r="K96" s="11">
        <v>44953</v>
      </c>
      <c r="L96" s="1" t="s">
        <v>30</v>
      </c>
      <c r="M96" s="1" t="s">
        <v>31</v>
      </c>
      <c r="N96" s="12">
        <v>0.66</v>
      </c>
      <c r="O96" s="13">
        <f>TIMEVALUE([1]!Table1[[#This Row],[Malfunction end]])-TIMEVALUE([1]!Table1[[#This Row],[Start Malfn (T)]])</f>
        <v>4.166666666666663E-2</v>
      </c>
      <c r="P96" s="11">
        <v>44953</v>
      </c>
      <c r="Q96" s="1" t="s">
        <v>437</v>
      </c>
      <c r="R96" s="11">
        <v>44953</v>
      </c>
      <c r="S96" s="1" t="s">
        <v>438</v>
      </c>
      <c r="T96" s="1" t="s">
        <v>34</v>
      </c>
      <c r="U96" s="14" t="s">
        <v>58</v>
      </c>
    </row>
    <row r="97" spans="1:21" x14ac:dyDescent="0.25">
      <c r="A97" s="5" t="s">
        <v>439</v>
      </c>
      <c r="B97" s="3" t="s">
        <v>440</v>
      </c>
      <c r="C97" s="3" t="s">
        <v>441</v>
      </c>
      <c r="D97" s="4" t="str">
        <f t="shared" si="2"/>
        <v>579-4400</v>
      </c>
      <c r="E97" s="4" t="str">
        <f t="shared" si="3"/>
        <v>ELE-PNL-002</v>
      </c>
      <c r="F97" s="4" t="s">
        <v>54</v>
      </c>
      <c r="G97" s="4" t="s">
        <v>46</v>
      </c>
      <c r="H97" s="4" t="str">
        <f>_xlfn.XLOOKUP(Table6[[#This Row],[Description]],[1]Class!$A$4:$A$660,[1]Class!$G$4:$G$660,"",0,1)</f>
        <v>Blockchute</v>
      </c>
      <c r="I97" s="2" t="s">
        <v>28</v>
      </c>
      <c r="J97" s="3" t="s">
        <v>39</v>
      </c>
      <c r="K97" s="15">
        <v>45000</v>
      </c>
      <c r="L97" s="3" t="s">
        <v>30</v>
      </c>
      <c r="M97" s="3" t="s">
        <v>31</v>
      </c>
      <c r="N97" s="16">
        <v>0.48</v>
      </c>
      <c r="O97" s="17">
        <f>TIMEVALUE([1]!Table1[[#This Row],[Malfunction end]])-TIMEVALUE([1]!Table1[[#This Row],[Start Malfn (T)]])</f>
        <v>1.2974537037037104E-2</v>
      </c>
      <c r="P97" s="15">
        <v>45000</v>
      </c>
      <c r="Q97" s="3" t="s">
        <v>442</v>
      </c>
      <c r="R97" s="15">
        <v>45000</v>
      </c>
      <c r="S97" s="3" t="s">
        <v>443</v>
      </c>
      <c r="T97" s="3" t="s">
        <v>34</v>
      </c>
      <c r="U97" s="18" t="s">
        <v>58</v>
      </c>
    </row>
    <row r="98" spans="1:21" x14ac:dyDescent="0.25">
      <c r="A98" s="5" t="s">
        <v>444</v>
      </c>
      <c r="B98" s="1" t="s">
        <v>445</v>
      </c>
      <c r="C98" s="1" t="s">
        <v>446</v>
      </c>
      <c r="D98" s="2" t="str">
        <f t="shared" si="2"/>
        <v>579-4400</v>
      </c>
      <c r="E98" s="2" t="str">
        <f t="shared" si="3"/>
        <v>HYD-MOT-001</v>
      </c>
      <c r="F98" s="2" t="s">
        <v>414</v>
      </c>
      <c r="G98" s="4" t="s">
        <v>414</v>
      </c>
      <c r="H98" s="4" t="str">
        <f>_xlfn.XLOOKUP(Table6[[#This Row],[Description]],[1]Class!$A$4:$A$660,[1]Class!$G$4:$G$660,"",0,1)</f>
        <v/>
      </c>
      <c r="I98" s="2" t="s">
        <v>28</v>
      </c>
      <c r="J98" s="1" t="s">
        <v>47</v>
      </c>
      <c r="K98" s="11">
        <v>45428</v>
      </c>
      <c r="L98" s="1" t="s">
        <v>30</v>
      </c>
      <c r="M98" s="1" t="s">
        <v>31</v>
      </c>
      <c r="N98" s="12">
        <v>1.74</v>
      </c>
      <c r="O98" s="13">
        <f>TIMEVALUE([1]!Table1[[#This Row],[Malfunction end]])-TIMEVALUE([1]!Table1[[#This Row],[Start Malfn (T)]])</f>
        <v>6.1111111111111116E-2</v>
      </c>
      <c r="P98" s="11">
        <v>45428</v>
      </c>
      <c r="Q98" s="1" t="s">
        <v>447</v>
      </c>
      <c r="R98" s="11">
        <v>45428</v>
      </c>
      <c r="S98" s="1" t="s">
        <v>448</v>
      </c>
      <c r="T98" s="1" t="s">
        <v>34</v>
      </c>
      <c r="U98" s="14" t="s">
        <v>411</v>
      </c>
    </row>
    <row r="99" spans="1:21" x14ac:dyDescent="0.25">
      <c r="A99" s="5" t="s">
        <v>449</v>
      </c>
      <c r="B99" s="3" t="s">
        <v>450</v>
      </c>
      <c r="C99" s="3" t="s">
        <v>451</v>
      </c>
      <c r="D99" s="4" t="str">
        <f t="shared" si="2"/>
        <v>579-4400</v>
      </c>
      <c r="E99" s="4" t="str">
        <f t="shared" si="3"/>
        <v>IDL-002</v>
      </c>
      <c r="F99" s="4" t="s">
        <v>38</v>
      </c>
      <c r="G99" s="4" t="s">
        <v>38</v>
      </c>
      <c r="H99" s="4" t="str">
        <f>_xlfn.XLOOKUP(Table6[[#This Row],[Description]],[1]Class!$A$4:$A$660,[1]Class!$G$4:$G$660,"",0,1)</f>
        <v/>
      </c>
      <c r="I99" s="4" t="s">
        <v>28</v>
      </c>
      <c r="J99" s="3" t="s">
        <v>47</v>
      </c>
      <c r="K99" s="15">
        <v>44751</v>
      </c>
      <c r="L99" s="3" t="s">
        <v>30</v>
      </c>
      <c r="M99" s="3" t="s">
        <v>31</v>
      </c>
      <c r="N99" s="16">
        <v>1.97</v>
      </c>
      <c r="O99" s="17">
        <f>TIMEVALUE([1]!Table1[[#This Row],[Malfunction end]])-TIMEVALUE([1]!Table1[[#This Row],[Start Malfn (T)]])</f>
        <v>-0.77394675925925926</v>
      </c>
      <c r="P99" s="15">
        <v>44751</v>
      </c>
      <c r="Q99" s="3" t="s">
        <v>452</v>
      </c>
      <c r="R99" s="15">
        <v>44751</v>
      </c>
      <c r="S99" s="3" t="s">
        <v>453</v>
      </c>
      <c r="T99" s="3" t="s">
        <v>34</v>
      </c>
      <c r="U99" s="18" t="s">
        <v>411</v>
      </c>
    </row>
    <row r="100" spans="1:21" x14ac:dyDescent="0.25">
      <c r="A100" s="5" t="s">
        <v>454</v>
      </c>
      <c r="B100" s="1" t="s">
        <v>455</v>
      </c>
      <c r="C100" s="1" t="s">
        <v>456</v>
      </c>
      <c r="D100" s="2" t="str">
        <f t="shared" si="2"/>
        <v>579-4400</v>
      </c>
      <c r="E100" s="2" t="str">
        <f t="shared" si="3"/>
        <v>INE-MET-001</v>
      </c>
      <c r="F100" s="2" t="s">
        <v>124</v>
      </c>
      <c r="G100" s="2" t="s">
        <v>46</v>
      </c>
      <c r="H100" s="2" t="str">
        <f>_xlfn.XLOOKUP(Table6[[#This Row],[Description]],[1]Class!$A$4:$A$660,[1]Class!$G$4:$G$660,"",0,1)</f>
        <v>Scale</v>
      </c>
      <c r="I100" s="2" t="s">
        <v>28</v>
      </c>
      <c r="J100" s="1" t="s">
        <v>102</v>
      </c>
      <c r="K100" s="11">
        <v>45379</v>
      </c>
      <c r="L100" s="1" t="s">
        <v>171</v>
      </c>
      <c r="M100" s="1" t="s">
        <v>31</v>
      </c>
      <c r="N100" s="12">
        <v>0.83</v>
      </c>
      <c r="O100" s="13">
        <f>TIMEVALUE([1]!Table1[[#This Row],[Malfunction end]])-TIMEVALUE([1]!Table1[[#This Row],[Start Malfn (T)]])</f>
        <v>0.45818287037037042</v>
      </c>
      <c r="P100" s="11">
        <v>45379</v>
      </c>
      <c r="Q100" s="1" t="s">
        <v>183</v>
      </c>
      <c r="R100" s="11">
        <v>45379</v>
      </c>
      <c r="S100" s="1" t="s">
        <v>457</v>
      </c>
      <c r="T100" s="1" t="s">
        <v>34</v>
      </c>
      <c r="U100" s="14" t="s">
        <v>50</v>
      </c>
    </row>
    <row r="101" spans="1:21" x14ac:dyDescent="0.25">
      <c r="A101" s="5" t="s">
        <v>458</v>
      </c>
      <c r="B101" s="3" t="s">
        <v>459</v>
      </c>
      <c r="C101" s="3" t="s">
        <v>456</v>
      </c>
      <c r="D101" s="4" t="str">
        <f t="shared" si="2"/>
        <v>579-4400</v>
      </c>
      <c r="E101" s="4" t="str">
        <f t="shared" si="3"/>
        <v>INE-MET-001</v>
      </c>
      <c r="F101" s="4" t="s">
        <v>124</v>
      </c>
      <c r="G101" s="4" t="s">
        <v>46</v>
      </c>
      <c r="H101" s="4" t="str">
        <f>_xlfn.XLOOKUP(Table6[[#This Row],[Description]],[1]Class!$A$4:$A$660,[1]Class!$G$4:$G$660,"",0,1)</f>
        <v>Scale</v>
      </c>
      <c r="I101" s="2" t="s">
        <v>28</v>
      </c>
      <c r="J101" s="3" t="s">
        <v>102</v>
      </c>
      <c r="K101" s="15">
        <v>44954</v>
      </c>
      <c r="L101" s="3" t="s">
        <v>171</v>
      </c>
      <c r="M101" s="3" t="s">
        <v>31</v>
      </c>
      <c r="N101" s="16">
        <v>1</v>
      </c>
      <c r="O101" s="17">
        <f>TIMEVALUE([1]!Table1[[#This Row],[Malfunction end]])-TIMEVALUE([1]!Table1[[#This Row],[Start Malfn (T)]])</f>
        <v>0.14701388888888889</v>
      </c>
      <c r="P101" s="15">
        <v>44954</v>
      </c>
      <c r="Q101" s="3" t="s">
        <v>460</v>
      </c>
      <c r="R101" s="15">
        <v>44954</v>
      </c>
      <c r="S101" s="3" t="s">
        <v>461</v>
      </c>
      <c r="T101" s="3" t="s">
        <v>34</v>
      </c>
      <c r="U101" s="18" t="s">
        <v>50</v>
      </c>
    </row>
    <row r="102" spans="1:21" x14ac:dyDescent="0.25">
      <c r="A102" s="5" t="s">
        <v>462</v>
      </c>
      <c r="B102" s="1" t="s">
        <v>463</v>
      </c>
      <c r="C102" s="1" t="s">
        <v>464</v>
      </c>
      <c r="D102" s="2" t="str">
        <f t="shared" si="2"/>
        <v>579-4400</v>
      </c>
      <c r="E102" s="2" t="str">
        <f t="shared" si="3"/>
        <v>SCA-001</v>
      </c>
      <c r="F102" s="2" t="s">
        <v>465</v>
      </c>
      <c r="G102" s="2" t="s">
        <v>465</v>
      </c>
      <c r="H102" s="2" t="str">
        <f>_xlfn.XLOOKUP(Table6[[#This Row],[Description]],[1]Class!$A$4:$A$660,[1]Class!$G$4:$G$660,"",0,1)</f>
        <v/>
      </c>
      <c r="I102" s="4" t="s">
        <v>28</v>
      </c>
      <c r="J102" s="1" t="s">
        <v>47</v>
      </c>
      <c r="K102" s="11">
        <v>44404</v>
      </c>
      <c r="L102" s="1" t="s">
        <v>30</v>
      </c>
      <c r="M102" s="1" t="s">
        <v>31</v>
      </c>
      <c r="N102" s="12">
        <v>0.49</v>
      </c>
      <c r="O102" s="13">
        <f>TIMEVALUE([1]!Table1[[#This Row],[Malfunction end]])-TIMEVALUE([1]!Table1[[#This Row],[Start Malfn (T)]])</f>
        <v>6.9444444444444475E-3</v>
      </c>
      <c r="P102" s="11">
        <v>44404</v>
      </c>
      <c r="Q102" s="1" t="s">
        <v>466</v>
      </c>
      <c r="R102" s="11">
        <v>44404</v>
      </c>
      <c r="S102" s="1" t="s">
        <v>467</v>
      </c>
      <c r="T102" s="1" t="s">
        <v>34</v>
      </c>
      <c r="U102" s="14" t="s">
        <v>411</v>
      </c>
    </row>
    <row r="103" spans="1:21" x14ac:dyDescent="0.25">
      <c r="A103" s="19" t="s">
        <v>468</v>
      </c>
      <c r="B103" s="20" t="s">
        <v>469</v>
      </c>
      <c r="C103" s="20" t="s">
        <v>470</v>
      </c>
      <c r="D103" s="21" t="str">
        <f t="shared" si="2"/>
        <v>579-4600</v>
      </c>
      <c r="E103" t="str">
        <f t="shared" si="3"/>
        <v>BET-001</v>
      </c>
      <c r="F103" t="s">
        <v>26</v>
      </c>
      <c r="G103" t="s">
        <v>27</v>
      </c>
      <c r="H103" t="str">
        <f>_xlfn.XLOOKUP(Table6[[#This Row],[Description]],[1]Class!$A$4:$A$660,[1]Class!$G$4:$G$660,"",0,1)</f>
        <v>Skew - Tail</v>
      </c>
      <c r="I103" s="2" t="s">
        <v>28</v>
      </c>
      <c r="J103" s="20" t="s">
        <v>55</v>
      </c>
      <c r="K103" s="22">
        <v>44569</v>
      </c>
      <c r="L103" s="20" t="s">
        <v>30</v>
      </c>
      <c r="M103" s="20" t="s">
        <v>31</v>
      </c>
      <c r="N103" s="23">
        <v>2.0499999999999998</v>
      </c>
      <c r="O103" s="24">
        <f>TIMEVALUE([1]!Table1[[#This Row],[Malfunction end]])-TIMEVALUE([1]!Table1[[#This Row],[Start Malfn (T)]])</f>
        <v>8.333333333333337E-2</v>
      </c>
      <c r="P103" s="22">
        <v>44568</v>
      </c>
      <c r="Q103" s="20" t="s">
        <v>471</v>
      </c>
      <c r="R103" s="22">
        <v>44569</v>
      </c>
      <c r="S103" s="20" t="s">
        <v>472</v>
      </c>
      <c r="T103" s="20" t="s">
        <v>34</v>
      </c>
      <c r="U103" s="20" t="s">
        <v>411</v>
      </c>
    </row>
    <row r="104" spans="1:21" x14ac:dyDescent="0.25">
      <c r="A104" s="19" t="s">
        <v>473</v>
      </c>
      <c r="B104" s="20" t="s">
        <v>474</v>
      </c>
      <c r="C104" s="20" t="s">
        <v>470</v>
      </c>
      <c r="D104" t="str">
        <f t="shared" si="2"/>
        <v>579-4600</v>
      </c>
      <c r="E104" t="str">
        <f t="shared" si="3"/>
        <v>BET-001</v>
      </c>
      <c r="F104" t="s">
        <v>26</v>
      </c>
      <c r="G104" t="s">
        <v>27</v>
      </c>
      <c r="H104" t="str">
        <f>_xlfn.XLOOKUP(Table6[[#This Row],[Description]],[1]Class!$A$4:$A$660,[1]Class!$G$4:$G$660,"",0,1)</f>
        <v>Skew</v>
      </c>
      <c r="I104" s="2" t="s">
        <v>28</v>
      </c>
      <c r="J104" s="20" t="s">
        <v>29</v>
      </c>
      <c r="K104" s="22">
        <v>44267</v>
      </c>
      <c r="L104" s="20" t="s">
        <v>30</v>
      </c>
      <c r="M104" s="20" t="s">
        <v>31</v>
      </c>
      <c r="N104" s="23">
        <v>0.52</v>
      </c>
      <c r="O104" s="24">
        <f>TIMEVALUE([1]!Table1[[#This Row],[Malfunction end]])-TIMEVALUE([1]!Table1[[#This Row],[Start Malfn (T)]])</f>
        <v>5.1770833333333335E-2</v>
      </c>
      <c r="P104" s="22">
        <v>44267</v>
      </c>
      <c r="Q104" s="20" t="s">
        <v>475</v>
      </c>
      <c r="R104" s="22">
        <v>44267</v>
      </c>
      <c r="S104" s="20" t="s">
        <v>476</v>
      </c>
      <c r="T104" s="20" t="s">
        <v>34</v>
      </c>
      <c r="U104" s="20" t="s">
        <v>411</v>
      </c>
    </row>
    <row r="105" spans="1:21" x14ac:dyDescent="0.25">
      <c r="A105" s="19" t="s">
        <v>477</v>
      </c>
      <c r="B105" s="20" t="s">
        <v>478</v>
      </c>
      <c r="C105" s="20" t="s">
        <v>470</v>
      </c>
      <c r="D105" t="str">
        <f t="shared" si="2"/>
        <v>579-4600</v>
      </c>
      <c r="E105" t="str">
        <f t="shared" si="3"/>
        <v>BET-001</v>
      </c>
      <c r="F105" t="s">
        <v>26</v>
      </c>
      <c r="G105" t="s">
        <v>45</v>
      </c>
      <c r="H105" t="str">
        <f>_xlfn.XLOOKUP(Table6[[#This Row],[Description]],[1]Class!$A$4:$A$660,[1]Class!$G$4:$G$660,"",0,1)</f>
        <v/>
      </c>
      <c r="I105" s="4" t="s">
        <v>28</v>
      </c>
      <c r="J105" s="20" t="s">
        <v>39</v>
      </c>
      <c r="K105" s="22">
        <v>44715</v>
      </c>
      <c r="L105" s="20" t="s">
        <v>30</v>
      </c>
      <c r="M105" s="20" t="s">
        <v>31</v>
      </c>
      <c r="N105" s="23">
        <v>0.37</v>
      </c>
      <c r="O105" s="24">
        <f>TIMEVALUE([1]!Table1[[#This Row],[Malfunction end]])-TIMEVALUE([1]!Table1[[#This Row],[Start Malfn (T)]])</f>
        <v>0.15972222222222227</v>
      </c>
      <c r="P105" s="22">
        <v>44715</v>
      </c>
      <c r="Q105" s="20" t="s">
        <v>479</v>
      </c>
      <c r="R105" s="22">
        <v>44715</v>
      </c>
      <c r="S105" s="20" t="s">
        <v>480</v>
      </c>
      <c r="T105" s="20" t="s">
        <v>34</v>
      </c>
      <c r="U105" s="20" t="s">
        <v>411</v>
      </c>
    </row>
    <row r="106" spans="1:21" x14ac:dyDescent="0.25">
      <c r="A106" s="19" t="s">
        <v>481</v>
      </c>
      <c r="B106" s="20" t="s">
        <v>482</v>
      </c>
      <c r="C106" s="20" t="s">
        <v>470</v>
      </c>
      <c r="D106" t="str">
        <f t="shared" si="2"/>
        <v>579-4600</v>
      </c>
      <c r="E106" t="str">
        <f t="shared" si="3"/>
        <v>BET-001</v>
      </c>
      <c r="F106" t="s">
        <v>26</v>
      </c>
      <c r="G106" t="s">
        <v>27</v>
      </c>
      <c r="H106" t="str">
        <f>_xlfn.XLOOKUP(Table6[[#This Row],[Description]],[1]Class!$A$4:$A$660,[1]Class!$G$4:$G$660,"",0,1)</f>
        <v>Skew - Tail</v>
      </c>
      <c r="I106" s="2" t="s">
        <v>28</v>
      </c>
      <c r="J106" s="20" t="s">
        <v>47</v>
      </c>
      <c r="K106" s="22">
        <v>44345</v>
      </c>
      <c r="L106" s="20" t="s">
        <v>30</v>
      </c>
      <c r="M106" s="20" t="s">
        <v>31</v>
      </c>
      <c r="N106" s="23">
        <v>1.74</v>
      </c>
      <c r="O106" s="24">
        <f>TIMEVALUE([1]!Table1[[#This Row],[Malfunction end]])-TIMEVALUE([1]!Table1[[#This Row],[Start Malfn (T)]])</f>
        <v>2.777777777777779E-2</v>
      </c>
      <c r="P106" s="22">
        <v>44345</v>
      </c>
      <c r="Q106" s="20" t="s">
        <v>483</v>
      </c>
      <c r="R106" s="22">
        <v>44345</v>
      </c>
      <c r="S106" s="20" t="s">
        <v>484</v>
      </c>
      <c r="T106" s="20" t="s">
        <v>34</v>
      </c>
      <c r="U106" s="20" t="s">
        <v>411</v>
      </c>
    </row>
    <row r="107" spans="1:21" x14ac:dyDescent="0.25">
      <c r="A107" s="19" t="s">
        <v>485</v>
      </c>
      <c r="B107" s="20" t="s">
        <v>486</v>
      </c>
      <c r="C107" s="20" t="s">
        <v>470</v>
      </c>
      <c r="D107" t="str">
        <f t="shared" si="2"/>
        <v>579-4600</v>
      </c>
      <c r="E107" t="str">
        <f t="shared" si="3"/>
        <v>BET-001</v>
      </c>
      <c r="F107" t="s">
        <v>26</v>
      </c>
      <c r="G107" t="s">
        <v>54</v>
      </c>
      <c r="H107" t="str">
        <f>_xlfn.XLOOKUP(Table6[[#This Row],[Description]],[1]Class!$A$4:$A$660,[1]Class!$G$4:$G$660,"",0,1)</f>
        <v>CVO</v>
      </c>
      <c r="I107" s="2" t="s">
        <v>28</v>
      </c>
      <c r="J107" s="20" t="s">
        <v>181</v>
      </c>
      <c r="K107" s="22">
        <v>44604</v>
      </c>
      <c r="L107" s="20" t="s">
        <v>30</v>
      </c>
      <c r="M107" s="20" t="s">
        <v>31</v>
      </c>
      <c r="N107" s="23">
        <v>0.12</v>
      </c>
      <c r="O107" s="24">
        <f>TIMEVALUE([1]!Table1[[#This Row],[Malfunction end]])-TIMEVALUE([1]!Table1[[#This Row],[Start Malfn (T)]])</f>
        <v>0.13576388888888891</v>
      </c>
      <c r="P107" s="22">
        <v>44604</v>
      </c>
      <c r="Q107" s="20" t="s">
        <v>487</v>
      </c>
      <c r="R107" s="22">
        <v>44604</v>
      </c>
      <c r="S107" s="20" t="s">
        <v>488</v>
      </c>
      <c r="T107" s="20" t="s">
        <v>34</v>
      </c>
      <c r="U107" s="20" t="s">
        <v>411</v>
      </c>
    </row>
    <row r="108" spans="1:21" x14ac:dyDescent="0.25">
      <c r="A108" s="19" t="s">
        <v>489</v>
      </c>
      <c r="B108" s="20" t="s">
        <v>490</v>
      </c>
      <c r="C108" s="20" t="s">
        <v>470</v>
      </c>
      <c r="D108" t="str">
        <f t="shared" si="2"/>
        <v>579-4600</v>
      </c>
      <c r="E108" t="str">
        <f t="shared" si="3"/>
        <v>BET-001</v>
      </c>
      <c r="F108" t="s">
        <v>26</v>
      </c>
      <c r="G108" t="s">
        <v>146</v>
      </c>
      <c r="H108" t="str">
        <f>_xlfn.XLOOKUP(Table6[[#This Row],[Description]],[1]Class!$A$4:$A$660,[1]Class!$G$4:$G$660,"",0,1)</f>
        <v/>
      </c>
      <c r="I108" s="4" t="s">
        <v>28</v>
      </c>
      <c r="J108" s="20" t="s">
        <v>408</v>
      </c>
      <c r="K108" s="22">
        <v>45229</v>
      </c>
      <c r="L108" s="20" t="s">
        <v>30</v>
      </c>
      <c r="M108" s="20" t="s">
        <v>31</v>
      </c>
      <c r="N108" s="23">
        <v>0.72</v>
      </c>
      <c r="O108" s="24">
        <f>TIMEVALUE([1]!Table1[[#This Row],[Malfunction end]])-TIMEVALUE([1]!Table1[[#This Row],[Start Malfn (T)]])</f>
        <v>0.12500000000000006</v>
      </c>
      <c r="P108" s="22">
        <v>45228</v>
      </c>
      <c r="Q108" s="20" t="s">
        <v>491</v>
      </c>
      <c r="R108" s="22">
        <v>45228</v>
      </c>
      <c r="S108" s="20" t="s">
        <v>492</v>
      </c>
      <c r="T108" s="20" t="s">
        <v>34</v>
      </c>
      <c r="U108" s="20" t="s">
        <v>411</v>
      </c>
    </row>
    <row r="109" spans="1:21" x14ac:dyDescent="0.25">
      <c r="A109" s="19" t="s">
        <v>493</v>
      </c>
      <c r="B109" s="20" t="s">
        <v>494</v>
      </c>
      <c r="C109" s="20" t="s">
        <v>470</v>
      </c>
      <c r="D109" t="str">
        <f t="shared" si="2"/>
        <v>579-4600</v>
      </c>
      <c r="E109" t="str">
        <f t="shared" si="3"/>
        <v>BET-001</v>
      </c>
      <c r="F109" t="s">
        <v>26</v>
      </c>
      <c r="G109" t="s">
        <v>26</v>
      </c>
      <c r="H109" t="str">
        <f>_xlfn.XLOOKUP(Table6[[#This Row],[Description]],[1]Class!$A$4:$A$660,[1]Class!$G$4:$G$660,"",0,1)</f>
        <v/>
      </c>
      <c r="I109" s="2" t="s">
        <v>28</v>
      </c>
      <c r="J109" s="20" t="s">
        <v>39</v>
      </c>
      <c r="K109" s="22">
        <v>44268</v>
      </c>
      <c r="L109" s="20" t="s">
        <v>30</v>
      </c>
      <c r="M109" s="20" t="s">
        <v>31</v>
      </c>
      <c r="N109" s="23">
        <v>0.7</v>
      </c>
      <c r="O109" s="24">
        <f>TIMEVALUE([1]!Table1[[#This Row],[Malfunction end]])-TIMEVALUE([1]!Table1[[#This Row],[Start Malfn (T)]])</f>
        <v>5.6249999999999994E-2</v>
      </c>
      <c r="P109" s="22">
        <v>44268</v>
      </c>
      <c r="Q109" s="20" t="s">
        <v>495</v>
      </c>
      <c r="R109" s="22">
        <v>44268</v>
      </c>
      <c r="S109" s="20" t="s">
        <v>280</v>
      </c>
      <c r="T109" s="20" t="s">
        <v>34</v>
      </c>
      <c r="U109" s="20" t="s">
        <v>411</v>
      </c>
    </row>
    <row r="110" spans="1:21" x14ac:dyDescent="0.25">
      <c r="A110" s="19" t="s">
        <v>496</v>
      </c>
      <c r="B110" s="20" t="s">
        <v>497</v>
      </c>
      <c r="C110" s="20" t="s">
        <v>470</v>
      </c>
      <c r="D110" t="str">
        <f t="shared" si="2"/>
        <v>579-4600</v>
      </c>
      <c r="E110" t="str">
        <f t="shared" si="3"/>
        <v>BET-001</v>
      </c>
      <c r="F110" t="s">
        <v>26</v>
      </c>
      <c r="G110" t="s">
        <v>46</v>
      </c>
      <c r="H110" t="str">
        <f>_xlfn.XLOOKUP(Table6[[#This Row],[Description]],[1]Class!$A$4:$A$660,[1]Class!$G$4:$G$660,"",0,1)</f>
        <v>CVO</v>
      </c>
      <c r="I110" s="2" t="s">
        <v>28</v>
      </c>
      <c r="J110" s="20" t="s">
        <v>55</v>
      </c>
      <c r="K110" s="22">
        <v>44569</v>
      </c>
      <c r="L110" s="20" t="s">
        <v>30</v>
      </c>
      <c r="M110" s="20" t="s">
        <v>31</v>
      </c>
      <c r="N110" s="23">
        <v>4.04</v>
      </c>
      <c r="O110" s="24">
        <f>TIMEVALUE([1]!Table1[[#This Row],[Malfunction end]])-TIMEVALUE([1]!Table1[[#This Row],[Start Malfn (T)]])</f>
        <v>0.18194444444444446</v>
      </c>
      <c r="P110" s="22">
        <v>44569</v>
      </c>
      <c r="Q110" s="20" t="s">
        <v>498</v>
      </c>
      <c r="R110" s="22">
        <v>44569</v>
      </c>
      <c r="S110" s="20" t="s">
        <v>499</v>
      </c>
      <c r="T110" s="20" t="s">
        <v>34</v>
      </c>
      <c r="U110" s="20" t="s">
        <v>411</v>
      </c>
    </row>
    <row r="111" spans="1:21" x14ac:dyDescent="0.25">
      <c r="A111" s="19" t="s">
        <v>500</v>
      </c>
      <c r="B111" s="20" t="s">
        <v>6</v>
      </c>
      <c r="C111" s="20" t="s">
        <v>470</v>
      </c>
      <c r="D111" t="str">
        <f t="shared" si="2"/>
        <v>579-4600</v>
      </c>
      <c r="E111" t="str">
        <f t="shared" si="3"/>
        <v>BET-001</v>
      </c>
      <c r="F111" t="s">
        <v>26</v>
      </c>
      <c r="G111" t="s">
        <v>27</v>
      </c>
      <c r="H111" t="str">
        <f>_xlfn.XLOOKUP(Table6[[#This Row],[Description]],[1]Class!$A$4:$A$660,[1]Class!$G$4:$G$660,"",0,1)</f>
        <v>Skew</v>
      </c>
      <c r="I111" s="4" t="s">
        <v>28</v>
      </c>
      <c r="J111" s="20" t="s">
        <v>39</v>
      </c>
      <c r="K111" s="22">
        <v>44269</v>
      </c>
      <c r="L111" s="20" t="s">
        <v>30</v>
      </c>
      <c r="M111" s="20" t="s">
        <v>31</v>
      </c>
      <c r="N111" s="23">
        <v>2.37</v>
      </c>
      <c r="O111" s="24">
        <f>TIMEVALUE([1]!Table1[[#This Row],[Malfunction end]])-TIMEVALUE([1]!Table1[[#This Row],[Start Malfn (T)]])</f>
        <v>2.96643518518519E-2</v>
      </c>
      <c r="P111" s="22">
        <v>44269</v>
      </c>
      <c r="Q111" s="20" t="s">
        <v>501</v>
      </c>
      <c r="R111" s="22">
        <v>44269</v>
      </c>
      <c r="S111" s="20" t="s">
        <v>502</v>
      </c>
      <c r="T111" s="20" t="s">
        <v>34</v>
      </c>
      <c r="U111" s="20" t="s">
        <v>411</v>
      </c>
    </row>
    <row r="112" spans="1:21" x14ac:dyDescent="0.25">
      <c r="A112" s="19" t="s">
        <v>503</v>
      </c>
      <c r="B112" s="20" t="s">
        <v>504</v>
      </c>
      <c r="C112" s="20" t="s">
        <v>470</v>
      </c>
      <c r="D112" t="str">
        <f t="shared" si="2"/>
        <v>579-4600</v>
      </c>
      <c r="E112" t="str">
        <f t="shared" si="3"/>
        <v>BET-001</v>
      </c>
      <c r="F112" t="s">
        <v>26</v>
      </c>
      <c r="G112" t="s">
        <v>27</v>
      </c>
      <c r="H112" t="str">
        <f>_xlfn.XLOOKUP(Table6[[#This Row],[Description]],[1]Class!$A$4:$A$660,[1]Class!$G$4:$G$660,"",0,1)</f>
        <v>Alignment - Tail</v>
      </c>
      <c r="I112" s="2" t="s">
        <v>28</v>
      </c>
      <c r="J112" s="20" t="s">
        <v>505</v>
      </c>
      <c r="K112" s="22">
        <v>44345</v>
      </c>
      <c r="L112" s="20" t="s">
        <v>30</v>
      </c>
      <c r="M112" s="20" t="s">
        <v>31</v>
      </c>
      <c r="N112" s="23">
        <v>0.47</v>
      </c>
      <c r="O112" s="24">
        <f>TIMEVALUE([1]!Table1[[#This Row],[Malfunction end]])-TIMEVALUE([1]!Table1[[#This Row],[Start Malfn (T)]])</f>
        <v>2.3842592592592249E-3</v>
      </c>
      <c r="P112" s="22">
        <v>44345</v>
      </c>
      <c r="Q112" s="20" t="s">
        <v>506</v>
      </c>
      <c r="R112" s="22">
        <v>44345</v>
      </c>
      <c r="S112" s="20" t="s">
        <v>507</v>
      </c>
      <c r="T112" s="20" t="s">
        <v>34</v>
      </c>
      <c r="U112" s="20" t="s">
        <v>411</v>
      </c>
    </row>
    <row r="113" spans="1:21" x14ac:dyDescent="0.25">
      <c r="A113" s="19" t="s">
        <v>508</v>
      </c>
      <c r="B113" s="20" t="s">
        <v>154</v>
      </c>
      <c r="C113" s="20" t="s">
        <v>470</v>
      </c>
      <c r="D113" t="str">
        <f t="shared" si="2"/>
        <v>579-4600</v>
      </c>
      <c r="E113" t="str">
        <f t="shared" si="3"/>
        <v>BET-001</v>
      </c>
      <c r="F113" t="s">
        <v>26</v>
      </c>
      <c r="G113" t="s">
        <v>27</v>
      </c>
      <c r="H113" t="str">
        <f>_xlfn.XLOOKUP(Table6[[#This Row],[Description]],[1]Class!$A$4:$A$660,[1]Class!$G$4:$G$660,"",0,1)</f>
        <v>Alignment</v>
      </c>
      <c r="I113" s="2" t="s">
        <v>28</v>
      </c>
      <c r="J113" s="20" t="s">
        <v>55</v>
      </c>
      <c r="K113" s="22">
        <v>44570</v>
      </c>
      <c r="L113" s="20" t="s">
        <v>30</v>
      </c>
      <c r="M113" s="20" t="s">
        <v>31</v>
      </c>
      <c r="N113" s="23">
        <v>0.57999999999999996</v>
      </c>
      <c r="O113" s="24">
        <f>TIMEVALUE([1]!Table1[[#This Row],[Malfunction end]])-TIMEVALUE([1]!Table1[[#This Row],[Start Malfn (T)]])</f>
        <v>-0.89422453703703697</v>
      </c>
      <c r="P113" s="22">
        <v>44570</v>
      </c>
      <c r="Q113" s="20" t="s">
        <v>509</v>
      </c>
      <c r="R113" s="22">
        <v>44570</v>
      </c>
      <c r="S113" s="20" t="s">
        <v>510</v>
      </c>
      <c r="T113" s="20" t="s">
        <v>34</v>
      </c>
      <c r="U113" s="20" t="s">
        <v>411</v>
      </c>
    </row>
    <row r="114" spans="1:21" x14ac:dyDescent="0.25">
      <c r="A114" s="19" t="s">
        <v>511</v>
      </c>
      <c r="B114" s="20" t="s">
        <v>512</v>
      </c>
      <c r="C114" s="20" t="s">
        <v>470</v>
      </c>
      <c r="D114" t="str">
        <f t="shared" si="2"/>
        <v>579-4600</v>
      </c>
      <c r="E114" t="str">
        <f t="shared" si="3"/>
        <v>BET-001</v>
      </c>
      <c r="F114" t="s">
        <v>26</v>
      </c>
      <c r="G114" t="s">
        <v>27</v>
      </c>
      <c r="H114" t="str">
        <f>_xlfn.XLOOKUP(Table6[[#This Row],[Description]],[1]Class!$A$4:$A$660,[1]Class!$G$4:$G$660,"",0,1)</f>
        <v>Skew - Head</v>
      </c>
      <c r="I114" s="4" t="s">
        <v>28</v>
      </c>
      <c r="J114" s="20" t="s">
        <v>39</v>
      </c>
      <c r="K114" s="22">
        <v>44259</v>
      </c>
      <c r="L114" s="20" t="s">
        <v>30</v>
      </c>
      <c r="M114" s="20" t="s">
        <v>31</v>
      </c>
      <c r="N114" s="23">
        <v>0.67</v>
      </c>
      <c r="O114" s="24">
        <f>TIMEVALUE([1]!Table1[[#This Row],[Malfunction end]])-TIMEVALUE([1]!Table1[[#This Row],[Start Malfn (T)]])</f>
        <v>8.3587962962962947E-2</v>
      </c>
      <c r="P114" s="22">
        <v>44259</v>
      </c>
      <c r="Q114" s="20" t="s">
        <v>513</v>
      </c>
      <c r="R114" s="22">
        <v>44259</v>
      </c>
      <c r="S114" s="20" t="s">
        <v>514</v>
      </c>
      <c r="T114" s="20" t="s">
        <v>34</v>
      </c>
      <c r="U114" s="20" t="s">
        <v>411</v>
      </c>
    </row>
    <row r="115" spans="1:21" x14ac:dyDescent="0.25">
      <c r="A115" s="19" t="s">
        <v>515</v>
      </c>
      <c r="B115" s="20" t="s">
        <v>6</v>
      </c>
      <c r="C115" s="20" t="s">
        <v>470</v>
      </c>
      <c r="D115" t="str">
        <f t="shared" si="2"/>
        <v>579-4600</v>
      </c>
      <c r="E115" t="str">
        <f t="shared" si="3"/>
        <v>BET-001</v>
      </c>
      <c r="F115" t="s">
        <v>26</v>
      </c>
      <c r="G115" t="s">
        <v>27</v>
      </c>
      <c r="H115" t="str">
        <f>_xlfn.XLOOKUP(Table6[[#This Row],[Description]],[1]Class!$A$4:$A$660,[1]Class!$G$4:$G$660,"",0,1)</f>
        <v>Skew</v>
      </c>
      <c r="I115" s="2" t="s">
        <v>28</v>
      </c>
      <c r="J115" s="20" t="s">
        <v>408</v>
      </c>
      <c r="K115" s="22">
        <v>44714</v>
      </c>
      <c r="L115" s="20" t="s">
        <v>30</v>
      </c>
      <c r="M115" s="20" t="s">
        <v>31</v>
      </c>
      <c r="N115" s="23">
        <v>2.5299999999999998</v>
      </c>
      <c r="O115" s="24">
        <f>TIMEVALUE([1]!Table1[[#This Row],[Malfunction end]])-TIMEVALUE([1]!Table1[[#This Row],[Start Malfn (T)]])</f>
        <v>-0.86249999999999993</v>
      </c>
      <c r="P115" s="22">
        <v>44714</v>
      </c>
      <c r="Q115" s="20" t="s">
        <v>516</v>
      </c>
      <c r="R115" s="22">
        <v>44714</v>
      </c>
      <c r="S115" s="20" t="s">
        <v>517</v>
      </c>
      <c r="T115" s="20" t="s">
        <v>34</v>
      </c>
      <c r="U115" s="20" t="s">
        <v>411</v>
      </c>
    </row>
    <row r="116" spans="1:21" x14ac:dyDescent="0.25">
      <c r="A116" s="19" t="s">
        <v>518</v>
      </c>
      <c r="B116" s="20" t="s">
        <v>519</v>
      </c>
      <c r="C116" s="20" t="s">
        <v>470</v>
      </c>
      <c r="D116" t="str">
        <f t="shared" si="2"/>
        <v>579-4600</v>
      </c>
      <c r="E116" t="str">
        <f t="shared" si="3"/>
        <v>BET-001</v>
      </c>
      <c r="F116" t="s">
        <v>26</v>
      </c>
      <c r="G116" t="s">
        <v>46</v>
      </c>
      <c r="H116" t="str">
        <f>_xlfn.XLOOKUP(Table6[[#This Row],[Description]],[1]Class!$A$4:$A$660,[1]Class!$G$4:$G$660,"",0,1)</f>
        <v>CVO</v>
      </c>
      <c r="I116" s="2" t="s">
        <v>28</v>
      </c>
      <c r="J116" s="20" t="s">
        <v>408</v>
      </c>
      <c r="K116" s="22">
        <v>44836</v>
      </c>
      <c r="L116" s="20" t="s">
        <v>30</v>
      </c>
      <c r="M116" s="20" t="s">
        <v>31</v>
      </c>
      <c r="N116" s="23">
        <v>0.6</v>
      </c>
      <c r="O116" s="24">
        <f>TIMEVALUE([1]!Table1[[#This Row],[Malfunction end]])-TIMEVALUE([1]!Table1[[#This Row],[Start Malfn (T)]])</f>
        <v>0.16666666666666669</v>
      </c>
      <c r="P116" s="22">
        <v>44836</v>
      </c>
      <c r="Q116" s="20" t="s">
        <v>520</v>
      </c>
      <c r="R116" s="22">
        <v>44836</v>
      </c>
      <c r="S116" s="20" t="s">
        <v>521</v>
      </c>
      <c r="T116" s="20" t="s">
        <v>34</v>
      </c>
      <c r="U116" s="20" t="s">
        <v>411</v>
      </c>
    </row>
    <row r="117" spans="1:21" x14ac:dyDescent="0.25">
      <c r="A117" s="19" t="s">
        <v>522</v>
      </c>
      <c r="B117" s="20" t="s">
        <v>523</v>
      </c>
      <c r="C117" s="20" t="s">
        <v>470</v>
      </c>
      <c r="D117" t="str">
        <f t="shared" si="2"/>
        <v>579-4600</v>
      </c>
      <c r="E117" t="str">
        <f t="shared" si="3"/>
        <v>BET-001</v>
      </c>
      <c r="F117" t="s">
        <v>26</v>
      </c>
      <c r="G117" t="s">
        <v>46</v>
      </c>
      <c r="H117" t="str">
        <f>_xlfn.XLOOKUP(Table6[[#This Row],[Description]],[1]Class!$A$4:$A$660,[1]Class!$G$4:$G$660,"",0,1)</f>
        <v>Safety</v>
      </c>
      <c r="I117" s="4" t="s">
        <v>28</v>
      </c>
      <c r="J117" s="20" t="s">
        <v>142</v>
      </c>
      <c r="K117" s="22">
        <v>44846</v>
      </c>
      <c r="L117" s="20" t="s">
        <v>30</v>
      </c>
      <c r="M117" s="20" t="s">
        <v>31</v>
      </c>
      <c r="N117" s="23">
        <v>1.5</v>
      </c>
      <c r="O117" s="24">
        <f>TIMEVALUE([1]!Table1[[#This Row],[Malfunction end]])-TIMEVALUE([1]!Table1[[#This Row],[Start Malfn (T)]])</f>
        <v>3.0185185185185093E-2</v>
      </c>
      <c r="P117" s="22">
        <v>44846</v>
      </c>
      <c r="Q117" s="20" t="s">
        <v>524</v>
      </c>
      <c r="R117" s="22">
        <v>44846</v>
      </c>
      <c r="S117" s="20" t="s">
        <v>525</v>
      </c>
      <c r="T117" s="20" t="s">
        <v>34</v>
      </c>
      <c r="U117" s="20" t="s">
        <v>411</v>
      </c>
    </row>
    <row r="118" spans="1:21" x14ac:dyDescent="0.25">
      <c r="A118" s="19" t="s">
        <v>526</v>
      </c>
      <c r="B118" s="20" t="s">
        <v>527</v>
      </c>
      <c r="C118" s="20" t="s">
        <v>470</v>
      </c>
      <c r="D118" t="str">
        <f t="shared" si="2"/>
        <v>579-4600</v>
      </c>
      <c r="E118" t="str">
        <f t="shared" si="3"/>
        <v>BET-001</v>
      </c>
      <c r="F118" t="s">
        <v>26</v>
      </c>
      <c r="G118" t="s">
        <v>27</v>
      </c>
      <c r="H118" t="str">
        <f>_xlfn.XLOOKUP(Table6[[#This Row],[Description]],[1]Class!$A$4:$A$660,[1]Class!$G$4:$G$660,"",0,1)</f>
        <v>Alignment - Tail</v>
      </c>
      <c r="I118" s="2" t="s">
        <v>28</v>
      </c>
      <c r="J118" s="20" t="s">
        <v>39</v>
      </c>
      <c r="K118" s="22">
        <v>44572</v>
      </c>
      <c r="L118" s="20" t="s">
        <v>30</v>
      </c>
      <c r="M118" s="20" t="s">
        <v>31</v>
      </c>
      <c r="N118" s="23">
        <v>0.65</v>
      </c>
      <c r="O118" s="24">
        <f>TIMEVALUE([1]!Table1[[#This Row],[Malfunction end]])-TIMEVALUE([1]!Table1[[#This Row],[Start Malfn (T)]])</f>
        <v>5.5555555555555525E-2</v>
      </c>
      <c r="P118" s="22">
        <v>44572</v>
      </c>
      <c r="Q118" s="20" t="s">
        <v>528</v>
      </c>
      <c r="R118" s="22">
        <v>44572</v>
      </c>
      <c r="S118" s="20" t="s">
        <v>529</v>
      </c>
      <c r="T118" s="20" t="s">
        <v>34</v>
      </c>
      <c r="U118" s="20" t="s">
        <v>411</v>
      </c>
    </row>
    <row r="119" spans="1:21" x14ac:dyDescent="0.25">
      <c r="A119" s="19" t="s">
        <v>530</v>
      </c>
      <c r="B119" s="20" t="s">
        <v>527</v>
      </c>
      <c r="C119" s="20" t="s">
        <v>470</v>
      </c>
      <c r="D119" t="str">
        <f t="shared" si="2"/>
        <v>579-4600</v>
      </c>
      <c r="E119" t="str">
        <f t="shared" si="3"/>
        <v>BET-001</v>
      </c>
      <c r="F119" t="s">
        <v>26</v>
      </c>
      <c r="G119" t="s">
        <v>27</v>
      </c>
      <c r="H119" t="str">
        <f>_xlfn.XLOOKUP(Table6[[#This Row],[Description]],[1]Class!$A$4:$A$660,[1]Class!$G$4:$G$660,"",0,1)</f>
        <v>Alignment - Tail</v>
      </c>
      <c r="I119" s="2" t="s">
        <v>28</v>
      </c>
      <c r="J119" s="20" t="s">
        <v>39</v>
      </c>
      <c r="K119" s="22">
        <v>44572</v>
      </c>
      <c r="L119" s="20" t="s">
        <v>30</v>
      </c>
      <c r="M119" s="20" t="s">
        <v>31</v>
      </c>
      <c r="N119" s="23">
        <v>1.17</v>
      </c>
      <c r="O119" s="24">
        <f>TIMEVALUE([1]!Table1[[#This Row],[Malfunction end]])-TIMEVALUE([1]!Table1[[#This Row],[Start Malfn (T)]])</f>
        <v>8.3078703703703627E-2</v>
      </c>
      <c r="P119" s="22">
        <v>44572</v>
      </c>
      <c r="Q119" s="20" t="s">
        <v>531</v>
      </c>
      <c r="R119" s="22">
        <v>44572</v>
      </c>
      <c r="S119" s="20" t="s">
        <v>57</v>
      </c>
      <c r="T119" s="20" t="s">
        <v>34</v>
      </c>
      <c r="U119" s="20" t="s">
        <v>411</v>
      </c>
    </row>
    <row r="120" spans="1:21" x14ac:dyDescent="0.25">
      <c r="A120" s="19" t="s">
        <v>532</v>
      </c>
      <c r="B120" s="20" t="s">
        <v>486</v>
      </c>
      <c r="C120" s="20" t="s">
        <v>470</v>
      </c>
      <c r="D120" t="str">
        <f t="shared" si="2"/>
        <v>579-4600</v>
      </c>
      <c r="E120" t="str">
        <f t="shared" si="3"/>
        <v>BET-001</v>
      </c>
      <c r="F120" t="s">
        <v>26</v>
      </c>
      <c r="G120" t="s">
        <v>46</v>
      </c>
      <c r="H120" t="str">
        <f>_xlfn.XLOOKUP(Table6[[#This Row],[Description]],[1]Class!$A$4:$A$660,[1]Class!$G$4:$G$660,"",0,1)</f>
        <v>CVO</v>
      </c>
      <c r="I120" s="4" t="s">
        <v>28</v>
      </c>
      <c r="J120" s="20" t="s">
        <v>181</v>
      </c>
      <c r="K120" s="22">
        <v>44408</v>
      </c>
      <c r="L120" s="20" t="s">
        <v>30</v>
      </c>
      <c r="M120" s="20" t="s">
        <v>31</v>
      </c>
      <c r="N120" s="23">
        <v>0.2</v>
      </c>
      <c r="O120" s="24">
        <f>TIMEVALUE([1]!Table1[[#This Row],[Malfunction end]])-TIMEVALUE([1]!Table1[[#This Row],[Start Malfn (T)]])</f>
        <v>0.34702546296296299</v>
      </c>
      <c r="P120" s="22">
        <v>44408</v>
      </c>
      <c r="Q120" s="20" t="s">
        <v>533</v>
      </c>
      <c r="R120" s="22">
        <v>44408</v>
      </c>
      <c r="S120" s="20" t="s">
        <v>534</v>
      </c>
      <c r="T120" s="20" t="s">
        <v>34</v>
      </c>
      <c r="U120" s="20" t="s">
        <v>411</v>
      </c>
    </row>
    <row r="121" spans="1:21" x14ac:dyDescent="0.25">
      <c r="A121" s="19" t="s">
        <v>535</v>
      </c>
      <c r="B121" s="20" t="s">
        <v>6</v>
      </c>
      <c r="C121" s="20" t="s">
        <v>470</v>
      </c>
      <c r="D121" t="str">
        <f t="shared" si="2"/>
        <v>579-4600</v>
      </c>
      <c r="E121" t="str">
        <f t="shared" si="3"/>
        <v>BET-001</v>
      </c>
      <c r="F121" t="s">
        <v>26</v>
      </c>
      <c r="G121" t="s">
        <v>27</v>
      </c>
      <c r="H121" t="str">
        <f>_xlfn.XLOOKUP(Table6[[#This Row],[Description]],[1]Class!$A$4:$A$660,[1]Class!$G$4:$G$660,"",0,1)</f>
        <v>Skew</v>
      </c>
      <c r="I121" s="2" t="s">
        <v>28</v>
      </c>
      <c r="J121" s="20" t="s">
        <v>29</v>
      </c>
      <c r="K121" s="22">
        <v>44257</v>
      </c>
      <c r="L121" s="20" t="s">
        <v>30</v>
      </c>
      <c r="M121" s="20" t="s">
        <v>31</v>
      </c>
      <c r="N121" s="23">
        <v>0.82</v>
      </c>
      <c r="O121" s="24">
        <f>TIMEVALUE([1]!Table1[[#This Row],[Malfunction end]])-TIMEVALUE([1]!Table1[[#This Row],[Start Malfn (T)]])</f>
        <v>0.10343749999999996</v>
      </c>
      <c r="P121" s="22">
        <v>44257</v>
      </c>
      <c r="Q121" s="20" t="s">
        <v>536</v>
      </c>
      <c r="R121" s="22">
        <v>44258</v>
      </c>
      <c r="S121" s="20" t="s">
        <v>537</v>
      </c>
      <c r="T121" s="20" t="s">
        <v>34</v>
      </c>
      <c r="U121" s="20" t="s">
        <v>411</v>
      </c>
    </row>
    <row r="122" spans="1:21" x14ac:dyDescent="0.25">
      <c r="A122" s="19" t="s">
        <v>538</v>
      </c>
      <c r="B122" s="20" t="s">
        <v>539</v>
      </c>
      <c r="C122" s="20" t="s">
        <v>470</v>
      </c>
      <c r="D122" t="str">
        <f t="shared" si="2"/>
        <v>579-4600</v>
      </c>
      <c r="E122" t="str">
        <f t="shared" si="3"/>
        <v>BET-001</v>
      </c>
      <c r="F122" t="s">
        <v>26</v>
      </c>
      <c r="G122" t="s">
        <v>27</v>
      </c>
      <c r="H122" t="str">
        <f>_xlfn.XLOOKUP(Table6[[#This Row],[Description]],[1]Class!$A$4:$A$660,[1]Class!$G$4:$G$660,"",0,1)</f>
        <v>Skew</v>
      </c>
      <c r="I122" s="2" t="s">
        <v>28</v>
      </c>
      <c r="J122" s="20" t="s">
        <v>142</v>
      </c>
      <c r="K122" s="22">
        <v>44723</v>
      </c>
      <c r="L122" s="20" t="s">
        <v>30</v>
      </c>
      <c r="M122" s="20" t="s">
        <v>31</v>
      </c>
      <c r="N122" s="23">
        <v>0</v>
      </c>
      <c r="O122" s="24">
        <f>TIMEVALUE([1]!Table1[[#This Row],[Malfunction end]])-TIMEVALUE([1]!Table1[[#This Row],[Start Malfn (T)]])</f>
        <v>7.9189814814814824E-2</v>
      </c>
      <c r="P122" s="22">
        <v>44723</v>
      </c>
      <c r="Q122" s="20" t="s">
        <v>540</v>
      </c>
      <c r="R122" s="22">
        <v>44723</v>
      </c>
      <c r="S122" s="20" t="s">
        <v>541</v>
      </c>
      <c r="T122" s="20" t="s">
        <v>34</v>
      </c>
      <c r="U122" s="20" t="s">
        <v>411</v>
      </c>
    </row>
    <row r="123" spans="1:21" x14ac:dyDescent="0.25">
      <c r="A123" s="19" t="s">
        <v>542</v>
      </c>
      <c r="B123" s="20" t="s">
        <v>543</v>
      </c>
      <c r="C123" s="20" t="s">
        <v>470</v>
      </c>
      <c r="D123" t="str">
        <f t="shared" si="2"/>
        <v>579-4600</v>
      </c>
      <c r="E123" t="str">
        <f t="shared" si="3"/>
        <v>BET-001</v>
      </c>
      <c r="F123" t="s">
        <v>26</v>
      </c>
      <c r="G123" t="s">
        <v>27</v>
      </c>
      <c r="H123" t="str">
        <f>_xlfn.XLOOKUP(Table6[[#This Row],[Description]],[1]Class!$A$4:$A$660,[1]Class!$G$4:$G$660,"",0,1)</f>
        <v>Skew</v>
      </c>
      <c r="I123" s="4" t="s">
        <v>28</v>
      </c>
      <c r="J123" s="20" t="s">
        <v>142</v>
      </c>
      <c r="K123" s="22">
        <v>44261</v>
      </c>
      <c r="L123" s="20" t="s">
        <v>30</v>
      </c>
      <c r="M123" s="20" t="s">
        <v>31</v>
      </c>
      <c r="N123" s="23">
        <v>0.6</v>
      </c>
      <c r="O123" s="24">
        <f>TIMEVALUE([1]!Table1[[#This Row],[Malfunction end]])-TIMEVALUE([1]!Table1[[#This Row],[Start Malfn (T)]])</f>
        <v>2.5868055555555602E-2</v>
      </c>
      <c r="P123" s="22">
        <v>44261</v>
      </c>
      <c r="Q123" s="20" t="s">
        <v>544</v>
      </c>
      <c r="R123" s="22">
        <v>44261</v>
      </c>
      <c r="S123" s="20" t="s">
        <v>545</v>
      </c>
      <c r="T123" s="20" t="s">
        <v>34</v>
      </c>
      <c r="U123" s="20" t="s">
        <v>411</v>
      </c>
    </row>
    <row r="124" spans="1:21" x14ac:dyDescent="0.25">
      <c r="A124" s="19" t="s">
        <v>546</v>
      </c>
      <c r="B124" s="20" t="s">
        <v>547</v>
      </c>
      <c r="C124" s="20" t="s">
        <v>470</v>
      </c>
      <c r="D124" t="str">
        <f t="shared" si="2"/>
        <v>579-4600</v>
      </c>
      <c r="E124" t="str">
        <f t="shared" si="3"/>
        <v>BET-001</v>
      </c>
      <c r="F124" t="s">
        <v>26</v>
      </c>
      <c r="G124" t="s">
        <v>27</v>
      </c>
      <c r="H124" t="str">
        <f>_xlfn.XLOOKUP(Table6[[#This Row],[Description]],[1]Class!$A$4:$A$660,[1]Class!$G$4:$G$660,"",0,1)</f>
        <v>Skew - Tail</v>
      </c>
      <c r="I124" s="2" t="s">
        <v>28</v>
      </c>
      <c r="J124" s="20" t="s">
        <v>408</v>
      </c>
      <c r="K124" s="22">
        <v>45022</v>
      </c>
      <c r="L124" s="20" t="s">
        <v>30</v>
      </c>
      <c r="M124" s="20" t="s">
        <v>31</v>
      </c>
      <c r="N124" s="23">
        <v>0.78</v>
      </c>
      <c r="O124" s="24">
        <f>TIMEVALUE([1]!Table1[[#This Row],[Malfunction end]])-TIMEVALUE([1]!Table1[[#This Row],[Start Malfn (T)]])</f>
        <v>4.6898148148148189E-2</v>
      </c>
      <c r="P124" s="22">
        <v>45022</v>
      </c>
      <c r="Q124" s="20" t="s">
        <v>548</v>
      </c>
      <c r="R124" s="22">
        <v>45022</v>
      </c>
      <c r="S124" s="20" t="s">
        <v>236</v>
      </c>
      <c r="T124" s="20" t="s">
        <v>34</v>
      </c>
      <c r="U124" s="20" t="s">
        <v>411</v>
      </c>
    </row>
    <row r="125" spans="1:21" x14ac:dyDescent="0.25">
      <c r="A125" s="19" t="s">
        <v>549</v>
      </c>
      <c r="B125" s="20" t="s">
        <v>550</v>
      </c>
      <c r="C125" s="20" t="s">
        <v>470</v>
      </c>
      <c r="D125" t="str">
        <f t="shared" si="2"/>
        <v>579-4600</v>
      </c>
      <c r="E125" t="str">
        <f t="shared" si="3"/>
        <v>BET-001</v>
      </c>
      <c r="F125" t="s">
        <v>26</v>
      </c>
      <c r="G125" t="s">
        <v>414</v>
      </c>
      <c r="H125" t="str">
        <f>_xlfn.XLOOKUP(Table6[[#This Row],[Description]],[1]Class!$A$4:$A$660,[1]Class!$G$4:$G$660,"",0,1)</f>
        <v/>
      </c>
      <c r="I125" s="2" t="s">
        <v>28</v>
      </c>
      <c r="J125" s="20" t="s">
        <v>29</v>
      </c>
      <c r="K125" s="22">
        <v>44257</v>
      </c>
      <c r="L125" s="20" t="s">
        <v>30</v>
      </c>
      <c r="M125" s="20" t="s">
        <v>31</v>
      </c>
      <c r="N125" s="23">
        <v>1.53</v>
      </c>
      <c r="O125" s="24">
        <f>TIMEVALUE([1]!Table1[[#This Row],[Malfunction end]])-TIMEVALUE([1]!Table1[[#This Row],[Start Malfn (T)]])</f>
        <v>0.12422453703703706</v>
      </c>
      <c r="P125" s="22">
        <v>44257</v>
      </c>
      <c r="Q125" s="20" t="s">
        <v>551</v>
      </c>
      <c r="R125" s="22">
        <v>44257</v>
      </c>
      <c r="S125" s="20" t="s">
        <v>552</v>
      </c>
      <c r="T125" s="20" t="s">
        <v>34</v>
      </c>
      <c r="U125" s="20" t="s">
        <v>58</v>
      </c>
    </row>
    <row r="126" spans="1:21" x14ac:dyDescent="0.25">
      <c r="A126" s="19" t="s">
        <v>553</v>
      </c>
      <c r="B126" s="20" t="s">
        <v>554</v>
      </c>
      <c r="C126" s="20" t="s">
        <v>470</v>
      </c>
      <c r="D126" t="str">
        <f t="shared" si="2"/>
        <v>579-4600</v>
      </c>
      <c r="E126" t="str">
        <f t="shared" si="3"/>
        <v>BET-001</v>
      </c>
      <c r="F126" t="s">
        <v>26</v>
      </c>
      <c r="G126" t="s">
        <v>26</v>
      </c>
      <c r="H126" t="str">
        <f>_xlfn.XLOOKUP(Table6[[#This Row],[Description]],[1]Class!$A$4:$A$660,[1]Class!$G$4:$G$660,"",0,1)</f>
        <v/>
      </c>
      <c r="I126" s="4" t="s">
        <v>28</v>
      </c>
      <c r="J126" s="20" t="s">
        <v>373</v>
      </c>
      <c r="K126" s="22">
        <v>44368</v>
      </c>
      <c r="L126" s="20" t="s">
        <v>30</v>
      </c>
      <c r="M126" s="20" t="s">
        <v>31</v>
      </c>
      <c r="N126" s="23">
        <v>3.8</v>
      </c>
      <c r="O126" s="24">
        <f>TIMEVALUE([1]!Table1[[#This Row],[Malfunction end]])-TIMEVALUE([1]!Table1[[#This Row],[Start Malfn (T)]])</f>
        <v>0.10214120370370372</v>
      </c>
      <c r="P126" s="22">
        <v>44368</v>
      </c>
      <c r="Q126" s="20" t="s">
        <v>555</v>
      </c>
      <c r="R126" s="22">
        <v>44368</v>
      </c>
      <c r="S126" s="20" t="s">
        <v>556</v>
      </c>
      <c r="T126" s="20" t="s">
        <v>34</v>
      </c>
      <c r="U126" s="20" t="s">
        <v>411</v>
      </c>
    </row>
    <row r="127" spans="1:21" x14ac:dyDescent="0.25">
      <c r="A127" s="19" t="s">
        <v>557</v>
      </c>
      <c r="B127" s="20" t="s">
        <v>469</v>
      </c>
      <c r="C127" s="20" t="s">
        <v>470</v>
      </c>
      <c r="D127" t="str">
        <f t="shared" si="2"/>
        <v>579-4600</v>
      </c>
      <c r="E127" t="str">
        <f t="shared" si="3"/>
        <v>BET-001</v>
      </c>
      <c r="F127" t="s">
        <v>26</v>
      </c>
      <c r="G127" t="s">
        <v>27</v>
      </c>
      <c r="H127" t="str">
        <f>_xlfn.XLOOKUP(Table6[[#This Row],[Description]],[1]Class!$A$4:$A$660,[1]Class!$G$4:$G$660,"",0,1)</f>
        <v>Skew - Tail</v>
      </c>
      <c r="I127" s="2" t="s">
        <v>28</v>
      </c>
      <c r="J127" s="20" t="s">
        <v>55</v>
      </c>
      <c r="K127" s="22">
        <v>44568</v>
      </c>
      <c r="L127" s="20" t="s">
        <v>30</v>
      </c>
      <c r="M127" s="20" t="s">
        <v>31</v>
      </c>
      <c r="N127" s="23">
        <v>1.2</v>
      </c>
      <c r="O127" s="24">
        <f>TIMEVALUE([1]!Table1[[#This Row],[Malfunction end]])-TIMEVALUE([1]!Table1[[#This Row],[Start Malfn (T)]])</f>
        <v>2.2916666666666696E-2</v>
      </c>
      <c r="P127" s="22">
        <v>44568</v>
      </c>
      <c r="Q127" s="20" t="s">
        <v>558</v>
      </c>
      <c r="R127" s="22">
        <v>44568</v>
      </c>
      <c r="S127" s="20" t="s">
        <v>559</v>
      </c>
      <c r="T127" s="20" t="s">
        <v>34</v>
      </c>
      <c r="U127" s="20" t="s">
        <v>411</v>
      </c>
    </row>
    <row r="128" spans="1:21" x14ac:dyDescent="0.25">
      <c r="A128" s="19" t="s">
        <v>560</v>
      </c>
      <c r="B128" s="20" t="s">
        <v>561</v>
      </c>
      <c r="C128" s="20" t="s">
        <v>470</v>
      </c>
      <c r="D128" t="str">
        <f t="shared" si="2"/>
        <v>579-4600</v>
      </c>
      <c r="E128" t="str">
        <f t="shared" si="3"/>
        <v>BET-001</v>
      </c>
      <c r="F128" t="s">
        <v>26</v>
      </c>
      <c r="G128" t="s">
        <v>45</v>
      </c>
      <c r="H128" t="str">
        <f>_xlfn.XLOOKUP(Table6[[#This Row],[Description]],[1]Class!$A$4:$A$660,[1]Class!$G$4:$G$660,"",0,1)</f>
        <v/>
      </c>
      <c r="I128" s="2" t="s">
        <v>28</v>
      </c>
      <c r="J128" s="20" t="s">
        <v>29</v>
      </c>
      <c r="K128" s="22">
        <v>45088</v>
      </c>
      <c r="L128" s="20" t="s">
        <v>30</v>
      </c>
      <c r="M128" s="20" t="s">
        <v>31</v>
      </c>
      <c r="N128" s="23">
        <v>3.68</v>
      </c>
      <c r="O128" s="24">
        <f>TIMEVALUE([1]!Table1[[#This Row],[Malfunction end]])-TIMEVALUE([1]!Table1[[#This Row],[Start Malfn (T)]])</f>
        <v>2.083333333333337E-2</v>
      </c>
      <c r="P128" s="22">
        <v>45088</v>
      </c>
      <c r="Q128" s="20" t="s">
        <v>562</v>
      </c>
      <c r="R128" s="22">
        <v>45088</v>
      </c>
      <c r="S128" s="20" t="s">
        <v>563</v>
      </c>
      <c r="T128" s="20" t="s">
        <v>34</v>
      </c>
      <c r="U128" s="20" t="s">
        <v>411</v>
      </c>
    </row>
    <row r="129" spans="1:21" x14ac:dyDescent="0.25">
      <c r="A129" s="19" t="s">
        <v>564</v>
      </c>
      <c r="B129" s="20" t="s">
        <v>565</v>
      </c>
      <c r="C129" s="20" t="s">
        <v>470</v>
      </c>
      <c r="D129" t="str">
        <f t="shared" si="2"/>
        <v>579-4600</v>
      </c>
      <c r="E129" t="str">
        <f t="shared" si="3"/>
        <v>BET-001</v>
      </c>
      <c r="F129" t="s">
        <v>26</v>
      </c>
      <c r="G129" t="s">
        <v>27</v>
      </c>
      <c r="H129" t="str">
        <f>_xlfn.XLOOKUP(Table6[[#This Row],[Description]],[1]Class!$A$4:$A$660,[1]Class!$G$4:$G$660,"",0,1)</f>
        <v>Skew</v>
      </c>
      <c r="I129" s="4" t="s">
        <v>28</v>
      </c>
      <c r="J129" s="20" t="s">
        <v>47</v>
      </c>
      <c r="K129" s="22">
        <v>44724</v>
      </c>
      <c r="L129" s="20" t="s">
        <v>30</v>
      </c>
      <c r="M129" s="20" t="s">
        <v>31</v>
      </c>
      <c r="N129" s="23">
        <v>1.48</v>
      </c>
      <c r="O129" s="24">
        <f>TIMEVALUE([1]!Table1[[#This Row],[Malfunction end]])-TIMEVALUE([1]!Table1[[#This Row],[Start Malfn (T)]])</f>
        <v>1.1111111111111072E-2</v>
      </c>
      <c r="P129" s="22">
        <v>44724</v>
      </c>
      <c r="Q129" s="20" t="s">
        <v>566</v>
      </c>
      <c r="R129" s="22">
        <v>44724</v>
      </c>
      <c r="S129" s="20" t="s">
        <v>567</v>
      </c>
      <c r="T129" s="20" t="s">
        <v>34</v>
      </c>
      <c r="U129" s="20" t="s">
        <v>411</v>
      </c>
    </row>
    <row r="130" spans="1:21" x14ac:dyDescent="0.25">
      <c r="A130" s="19" t="s">
        <v>568</v>
      </c>
      <c r="B130" s="20" t="s">
        <v>569</v>
      </c>
      <c r="C130" s="20" t="s">
        <v>470</v>
      </c>
      <c r="D130" t="str">
        <f t="shared" ref="D130:D193" si="4">MID(C130,9,3) &amp;"-"&amp; MID(C130,21,3)&amp;"0"</f>
        <v>579-4600</v>
      </c>
      <c r="E130" t="str">
        <f t="shared" ref="E130:E193" si="5">MID(C130,25,LEN(C130)-14)</f>
        <v>BET-001</v>
      </c>
      <c r="F130" t="s">
        <v>26</v>
      </c>
      <c r="G130" t="s">
        <v>46</v>
      </c>
      <c r="H130" t="str">
        <f>_xlfn.XLOOKUP(Table6[[#This Row],[Description]],[1]Class!$A$4:$A$660,[1]Class!$G$4:$G$660,"",0,1)</f>
        <v>CVO</v>
      </c>
      <c r="I130" s="2" t="s">
        <v>28</v>
      </c>
      <c r="J130" s="20" t="s">
        <v>142</v>
      </c>
      <c r="K130" s="22">
        <v>44280</v>
      </c>
      <c r="L130" s="20" t="s">
        <v>30</v>
      </c>
      <c r="M130" s="20" t="s">
        <v>31</v>
      </c>
      <c r="N130" s="23">
        <v>0.43</v>
      </c>
      <c r="O130" s="24">
        <f>TIMEVALUE([1]!Table1[[#This Row],[Malfunction end]])-TIMEVALUE([1]!Table1[[#This Row],[Start Malfn (T)]])</f>
        <v>1.1805555555555625E-2</v>
      </c>
      <c r="P130" s="22">
        <v>44280</v>
      </c>
      <c r="Q130" s="20" t="s">
        <v>570</v>
      </c>
      <c r="R130" s="22">
        <v>44280</v>
      </c>
      <c r="S130" s="20" t="s">
        <v>571</v>
      </c>
      <c r="T130" s="20" t="s">
        <v>34</v>
      </c>
      <c r="U130" s="20" t="s">
        <v>411</v>
      </c>
    </row>
    <row r="131" spans="1:21" x14ac:dyDescent="0.25">
      <c r="A131" s="19" t="s">
        <v>572</v>
      </c>
      <c r="B131" s="20" t="s">
        <v>573</v>
      </c>
      <c r="C131" s="20" t="s">
        <v>470</v>
      </c>
      <c r="D131" t="str">
        <f t="shared" si="4"/>
        <v>579-4600</v>
      </c>
      <c r="E131" t="str">
        <f t="shared" si="5"/>
        <v>BET-001</v>
      </c>
      <c r="F131" t="s">
        <v>26</v>
      </c>
      <c r="G131" t="s">
        <v>574</v>
      </c>
      <c r="H131" t="str">
        <f>_xlfn.XLOOKUP(Table6[[#This Row],[Description]],[1]Class!$A$4:$A$660,[1]Class!$G$4:$G$660,"",0,1)</f>
        <v/>
      </c>
      <c r="I131" s="2" t="s">
        <v>28</v>
      </c>
      <c r="J131" s="20" t="s">
        <v>39</v>
      </c>
      <c r="K131" s="22">
        <v>45277</v>
      </c>
      <c r="L131" s="20" t="s">
        <v>30</v>
      </c>
      <c r="M131" s="20" t="s">
        <v>31</v>
      </c>
      <c r="N131" s="23">
        <v>4.88</v>
      </c>
      <c r="O131" s="24">
        <f>TIMEVALUE([1]!Table1[[#This Row],[Malfunction end]])-TIMEVALUE([1]!Table1[[#This Row],[Start Malfn (T)]])</f>
        <v>1.0416666666666664E-2</v>
      </c>
      <c r="P131" s="22">
        <v>45277</v>
      </c>
      <c r="Q131" s="20" t="s">
        <v>575</v>
      </c>
      <c r="R131" s="22">
        <v>45277</v>
      </c>
      <c r="S131" s="20" t="s">
        <v>576</v>
      </c>
      <c r="T131" s="20" t="s">
        <v>34</v>
      </c>
      <c r="U131" s="20" t="s">
        <v>411</v>
      </c>
    </row>
    <row r="132" spans="1:21" x14ac:dyDescent="0.25">
      <c r="A132" s="19" t="s">
        <v>577</v>
      </c>
      <c r="B132" s="20" t="s">
        <v>6</v>
      </c>
      <c r="C132" s="20" t="s">
        <v>470</v>
      </c>
      <c r="D132" t="str">
        <f t="shared" si="4"/>
        <v>579-4600</v>
      </c>
      <c r="E132" t="str">
        <f t="shared" si="5"/>
        <v>BET-001</v>
      </c>
      <c r="F132" t="s">
        <v>26</v>
      </c>
      <c r="G132" t="s">
        <v>27</v>
      </c>
      <c r="H132" t="str">
        <f>_xlfn.XLOOKUP(Table6[[#This Row],[Description]],[1]Class!$A$4:$A$660,[1]Class!$G$4:$G$660,"",0,1)</f>
        <v>Skew</v>
      </c>
      <c r="I132" s="4" t="s">
        <v>28</v>
      </c>
      <c r="J132" s="20" t="s">
        <v>29</v>
      </c>
      <c r="K132" s="22">
        <v>44260</v>
      </c>
      <c r="L132" s="20" t="s">
        <v>30</v>
      </c>
      <c r="M132" s="20" t="s">
        <v>31</v>
      </c>
      <c r="N132" s="23">
        <v>0.48</v>
      </c>
      <c r="O132" s="24">
        <f>TIMEVALUE([1]!Table1[[#This Row],[Malfunction end]])-TIMEVALUE([1]!Table1[[#This Row],[Start Malfn (T)]])</f>
        <v>2.2916666666666585E-2</v>
      </c>
      <c r="P132" s="22">
        <v>44260</v>
      </c>
      <c r="Q132" s="20" t="s">
        <v>578</v>
      </c>
      <c r="R132" s="22">
        <v>44260</v>
      </c>
      <c r="S132" s="20" t="s">
        <v>579</v>
      </c>
      <c r="T132" s="20" t="s">
        <v>34</v>
      </c>
      <c r="U132" s="20" t="s">
        <v>411</v>
      </c>
    </row>
    <row r="133" spans="1:21" x14ac:dyDescent="0.25">
      <c r="A133" s="19" t="s">
        <v>580</v>
      </c>
      <c r="B133" s="20" t="s">
        <v>581</v>
      </c>
      <c r="C133" s="20" t="s">
        <v>582</v>
      </c>
      <c r="D133" t="str">
        <f t="shared" si="4"/>
        <v>579-4600</v>
      </c>
      <c r="E133" t="str">
        <f t="shared" si="5"/>
        <v>CHU-001</v>
      </c>
      <c r="F133" t="s">
        <v>45</v>
      </c>
      <c r="G133" t="s">
        <v>46</v>
      </c>
      <c r="H133" t="str">
        <f>_xlfn.XLOOKUP(Table6[[#This Row],[Description]],[1]Class!$A$4:$A$660,[1]Class!$G$4:$G$660,"",0,1)</f>
        <v>Blockchute</v>
      </c>
      <c r="I133" s="2" t="s">
        <v>28</v>
      </c>
      <c r="J133" s="20" t="s">
        <v>47</v>
      </c>
      <c r="K133" s="22">
        <v>44942</v>
      </c>
      <c r="L133" s="20" t="s">
        <v>30</v>
      </c>
      <c r="M133" s="20" t="s">
        <v>31</v>
      </c>
      <c r="N133" s="23">
        <v>0.56999999999999995</v>
      </c>
      <c r="O133" s="24">
        <f>TIMEVALUE([1]!Table1[[#This Row],[Malfunction end]])-TIMEVALUE([1]!Table1[[#This Row],[Start Malfn (T)]])</f>
        <v>-0.79027777777777786</v>
      </c>
      <c r="P133" s="22">
        <v>44942</v>
      </c>
      <c r="Q133" s="20" t="s">
        <v>583</v>
      </c>
      <c r="R133" s="22">
        <v>44942</v>
      </c>
      <c r="S133" s="20" t="s">
        <v>584</v>
      </c>
      <c r="T133" s="20" t="s">
        <v>34</v>
      </c>
      <c r="U133" s="20" t="s">
        <v>411</v>
      </c>
    </row>
    <row r="134" spans="1:21" x14ac:dyDescent="0.25">
      <c r="A134" s="19" t="s">
        <v>585</v>
      </c>
      <c r="B134" s="20" t="s">
        <v>586</v>
      </c>
      <c r="C134" s="20" t="s">
        <v>582</v>
      </c>
      <c r="D134" t="str">
        <f t="shared" si="4"/>
        <v>579-4600</v>
      </c>
      <c r="E134" t="str">
        <f t="shared" si="5"/>
        <v>CHU-001</v>
      </c>
      <c r="F134" t="s">
        <v>45</v>
      </c>
      <c r="G134" t="s">
        <v>46</v>
      </c>
      <c r="H134" t="str">
        <f>_xlfn.XLOOKUP(Table6[[#This Row],[Description]],[1]Class!$A$4:$A$660,[1]Class!$G$4:$G$660,"",0,1)</f>
        <v>Blockchute</v>
      </c>
      <c r="I134" s="2" t="s">
        <v>28</v>
      </c>
      <c r="J134" s="20" t="s">
        <v>47</v>
      </c>
      <c r="K134" s="22">
        <v>45241</v>
      </c>
      <c r="L134" s="20" t="s">
        <v>30</v>
      </c>
      <c r="M134" s="20" t="s">
        <v>31</v>
      </c>
      <c r="N134" s="23">
        <v>0.81</v>
      </c>
      <c r="O134" s="24">
        <f>TIMEVALUE([1]!Table1[[#This Row],[Malfunction end]])-TIMEVALUE([1]!Table1[[#This Row],[Start Malfn (T)]])</f>
        <v>2.8090277777777839E-2</v>
      </c>
      <c r="P134" s="22">
        <v>45241</v>
      </c>
      <c r="Q134" s="20" t="s">
        <v>587</v>
      </c>
      <c r="R134" s="22">
        <v>45241</v>
      </c>
      <c r="S134" s="20" t="s">
        <v>588</v>
      </c>
      <c r="T134" s="20" t="s">
        <v>34</v>
      </c>
      <c r="U134" s="20" t="s">
        <v>411</v>
      </c>
    </row>
    <row r="135" spans="1:21" x14ac:dyDescent="0.25">
      <c r="A135" s="19" t="s">
        <v>589</v>
      </c>
      <c r="B135" s="20" t="s">
        <v>590</v>
      </c>
      <c r="C135" s="20" t="s">
        <v>591</v>
      </c>
      <c r="D135" t="str">
        <f t="shared" si="4"/>
        <v>579-4600</v>
      </c>
      <c r="E135" t="str">
        <f t="shared" si="5"/>
        <v>ELE-MOT-001</v>
      </c>
      <c r="F135" t="s">
        <v>54</v>
      </c>
      <c r="G135" t="s">
        <v>46</v>
      </c>
      <c r="H135" t="str">
        <f>_xlfn.XLOOKUP(Table6[[#This Row],[Description]],[1]Class!$A$4:$A$660,[1]Class!$G$4:$G$660,"",0,1)</f>
        <v>CVO</v>
      </c>
      <c r="I135" s="4" t="s">
        <v>28</v>
      </c>
      <c r="J135" s="20" t="s">
        <v>47</v>
      </c>
      <c r="K135" s="22">
        <v>44644</v>
      </c>
      <c r="L135" s="20" t="s">
        <v>30</v>
      </c>
      <c r="M135" s="20" t="s">
        <v>31</v>
      </c>
      <c r="N135" s="23">
        <v>0.49</v>
      </c>
      <c r="O135" s="24">
        <f>TIMEVALUE([1]!Table1[[#This Row],[Malfunction end]])-TIMEVALUE([1]!Table1[[#This Row],[Start Malfn (T)]])</f>
        <v>0.11319444444444443</v>
      </c>
      <c r="P135" s="22">
        <v>44643</v>
      </c>
      <c r="Q135" s="20" t="s">
        <v>592</v>
      </c>
      <c r="R135" s="22">
        <v>44643</v>
      </c>
      <c r="S135" s="20" t="s">
        <v>593</v>
      </c>
      <c r="T135" s="20" t="s">
        <v>34</v>
      </c>
      <c r="U135" s="20" t="s">
        <v>58</v>
      </c>
    </row>
    <row r="136" spans="1:21" x14ac:dyDescent="0.25">
      <c r="A136" s="19" t="s">
        <v>594</v>
      </c>
      <c r="B136" s="20" t="s">
        <v>595</v>
      </c>
      <c r="C136" s="20" t="s">
        <v>591</v>
      </c>
      <c r="D136" t="str">
        <f t="shared" si="4"/>
        <v>579-4600</v>
      </c>
      <c r="E136" t="str">
        <f t="shared" si="5"/>
        <v>ELE-MOT-001</v>
      </c>
      <c r="F136" t="s">
        <v>54</v>
      </c>
      <c r="G136" t="s">
        <v>46</v>
      </c>
      <c r="H136" t="str">
        <f>_xlfn.XLOOKUP(Table6[[#This Row],[Description]],[1]Class!$A$4:$A$660,[1]Class!$G$4:$G$660,"",0,1)</f>
        <v>CVO</v>
      </c>
      <c r="I136" s="2" t="s">
        <v>28</v>
      </c>
      <c r="J136" s="20" t="s">
        <v>55</v>
      </c>
      <c r="K136" s="22">
        <v>44560</v>
      </c>
      <c r="L136" s="20" t="s">
        <v>30</v>
      </c>
      <c r="M136" s="20" t="s">
        <v>31</v>
      </c>
      <c r="N136" s="23">
        <v>0.42</v>
      </c>
      <c r="O136" s="24">
        <f>TIMEVALUE([1]!Table1[[#This Row],[Malfunction end]])-TIMEVALUE([1]!Table1[[#This Row],[Start Malfn (T)]])</f>
        <v>5.3472222222222227E-2</v>
      </c>
      <c r="P136" s="22">
        <v>44560</v>
      </c>
      <c r="Q136" s="20" t="s">
        <v>596</v>
      </c>
      <c r="R136" s="22">
        <v>44560</v>
      </c>
      <c r="S136" s="20" t="s">
        <v>597</v>
      </c>
      <c r="T136" s="20" t="s">
        <v>34</v>
      </c>
      <c r="U136" s="20" t="s">
        <v>58</v>
      </c>
    </row>
    <row r="137" spans="1:21" x14ac:dyDescent="0.25">
      <c r="A137" s="19" t="s">
        <v>598</v>
      </c>
      <c r="B137" s="20" t="s">
        <v>590</v>
      </c>
      <c r="C137" s="20" t="s">
        <v>591</v>
      </c>
      <c r="D137" t="str">
        <f t="shared" si="4"/>
        <v>579-4600</v>
      </c>
      <c r="E137" t="str">
        <f t="shared" si="5"/>
        <v>ELE-MOT-001</v>
      </c>
      <c r="F137" t="s">
        <v>54</v>
      </c>
      <c r="G137" t="s">
        <v>46</v>
      </c>
      <c r="H137" t="str">
        <f>_xlfn.XLOOKUP(Table6[[#This Row],[Description]],[1]Class!$A$4:$A$660,[1]Class!$G$4:$G$660,"",0,1)</f>
        <v>CVO</v>
      </c>
      <c r="I137" s="2" t="s">
        <v>28</v>
      </c>
      <c r="J137" s="20" t="s">
        <v>47</v>
      </c>
      <c r="K137" s="22">
        <v>44682</v>
      </c>
      <c r="L137" s="20" t="s">
        <v>30</v>
      </c>
      <c r="M137" s="20" t="s">
        <v>31</v>
      </c>
      <c r="N137" s="23">
        <v>0.43</v>
      </c>
      <c r="O137" s="24">
        <f>TIMEVALUE([1]!Table1[[#This Row],[Malfunction end]])-TIMEVALUE([1]!Table1[[#This Row],[Start Malfn (T)]])</f>
        <v>1.0416666666666685E-2</v>
      </c>
      <c r="P137" s="22">
        <v>44682</v>
      </c>
      <c r="Q137" s="20" t="s">
        <v>599</v>
      </c>
      <c r="R137" s="22">
        <v>44682</v>
      </c>
      <c r="S137" s="20" t="s">
        <v>600</v>
      </c>
      <c r="T137" s="20" t="s">
        <v>34</v>
      </c>
      <c r="U137" s="20" t="s">
        <v>58</v>
      </c>
    </row>
    <row r="138" spans="1:21" x14ac:dyDescent="0.25">
      <c r="A138" s="19" t="s">
        <v>601</v>
      </c>
      <c r="B138" s="20" t="s">
        <v>602</v>
      </c>
      <c r="C138" s="20" t="s">
        <v>591</v>
      </c>
      <c r="D138" t="str">
        <f t="shared" si="4"/>
        <v>579-4600</v>
      </c>
      <c r="E138" t="str">
        <f t="shared" si="5"/>
        <v>ELE-MOT-001</v>
      </c>
      <c r="F138" t="s">
        <v>54</v>
      </c>
      <c r="G138" t="s">
        <v>46</v>
      </c>
      <c r="H138" t="str">
        <f>_xlfn.XLOOKUP(Table6[[#This Row],[Description]],[1]Class!$A$4:$A$660,[1]Class!$G$4:$G$660,"",0,1)</f>
        <v>CVO</v>
      </c>
      <c r="I138" s="4" t="s">
        <v>28</v>
      </c>
      <c r="J138" s="20" t="s">
        <v>505</v>
      </c>
      <c r="K138" s="22">
        <v>44724</v>
      </c>
      <c r="L138" s="20" t="s">
        <v>30</v>
      </c>
      <c r="M138" s="20" t="s">
        <v>31</v>
      </c>
      <c r="N138" s="23">
        <v>1.29</v>
      </c>
      <c r="O138" s="24">
        <f>TIMEVALUE([1]!Table1[[#This Row],[Malfunction end]])-TIMEVALUE([1]!Table1[[#This Row],[Start Malfn (T)]])</f>
        <v>3.1134259259259278E-2</v>
      </c>
      <c r="P138" s="22">
        <v>44723</v>
      </c>
      <c r="Q138" s="20" t="s">
        <v>603</v>
      </c>
      <c r="R138" s="22">
        <v>44723</v>
      </c>
      <c r="S138" s="20" t="s">
        <v>604</v>
      </c>
      <c r="T138" s="20" t="s">
        <v>34</v>
      </c>
      <c r="U138" s="20" t="s">
        <v>58</v>
      </c>
    </row>
    <row r="139" spans="1:21" x14ac:dyDescent="0.25">
      <c r="A139" s="19" t="s">
        <v>605</v>
      </c>
      <c r="B139" s="20" t="s">
        <v>606</v>
      </c>
      <c r="C139" s="20" t="s">
        <v>591</v>
      </c>
      <c r="D139" t="str">
        <f t="shared" si="4"/>
        <v>579-4600</v>
      </c>
      <c r="E139" t="str">
        <f t="shared" si="5"/>
        <v>ELE-MOT-001</v>
      </c>
      <c r="F139" t="s">
        <v>54</v>
      </c>
      <c r="G139" t="s">
        <v>46</v>
      </c>
      <c r="H139" t="str">
        <f>_xlfn.XLOOKUP(Table6[[#This Row],[Description]],[1]Class!$A$4:$A$660,[1]Class!$G$4:$G$660,"",0,1)</f>
        <v>CVO</v>
      </c>
      <c r="I139" s="2" t="s">
        <v>28</v>
      </c>
      <c r="J139" s="20" t="s">
        <v>47</v>
      </c>
      <c r="K139" s="22">
        <v>44700</v>
      </c>
      <c r="L139" s="20" t="s">
        <v>30</v>
      </c>
      <c r="M139" s="20" t="s">
        <v>31</v>
      </c>
      <c r="N139" s="23">
        <v>0.36</v>
      </c>
      <c r="O139" s="24">
        <f>TIMEVALUE([1]!Table1[[#This Row],[Malfunction end]])-TIMEVALUE([1]!Table1[[#This Row],[Start Malfn (T)]])</f>
        <v>1.2812499999999893E-2</v>
      </c>
      <c r="P139" s="22">
        <v>44699</v>
      </c>
      <c r="Q139" s="20" t="s">
        <v>607</v>
      </c>
      <c r="R139" s="22">
        <v>44699</v>
      </c>
      <c r="S139" s="20" t="s">
        <v>608</v>
      </c>
      <c r="T139" s="20" t="s">
        <v>34</v>
      </c>
      <c r="U139" s="20" t="s">
        <v>58</v>
      </c>
    </row>
    <row r="140" spans="1:21" x14ac:dyDescent="0.25">
      <c r="A140" s="19" t="s">
        <v>609</v>
      </c>
      <c r="B140" s="20" t="s">
        <v>497</v>
      </c>
      <c r="C140" s="20" t="s">
        <v>591</v>
      </c>
      <c r="D140" t="str">
        <f t="shared" si="4"/>
        <v>579-4600</v>
      </c>
      <c r="E140" t="str">
        <f t="shared" si="5"/>
        <v>ELE-MOT-001</v>
      </c>
      <c r="F140" t="s">
        <v>54</v>
      </c>
      <c r="G140" t="s">
        <v>46</v>
      </c>
      <c r="H140" t="str">
        <f>_xlfn.XLOOKUP(Table6[[#This Row],[Description]],[1]Class!$A$4:$A$660,[1]Class!$G$4:$G$660,"",0,1)</f>
        <v>CVO</v>
      </c>
      <c r="I140" s="2" t="s">
        <v>28</v>
      </c>
      <c r="J140" s="20" t="s">
        <v>47</v>
      </c>
      <c r="K140" s="22">
        <v>44597</v>
      </c>
      <c r="L140" s="20" t="s">
        <v>30</v>
      </c>
      <c r="M140" s="20" t="s">
        <v>31</v>
      </c>
      <c r="N140" s="23">
        <v>0.82</v>
      </c>
      <c r="O140" s="24">
        <f>TIMEVALUE([1]!Table1[[#This Row],[Malfunction end]])-TIMEVALUE([1]!Table1[[#This Row],[Start Malfn (T)]])</f>
        <v>1.0752314814814812E-2</v>
      </c>
      <c r="P140" s="22">
        <v>44597</v>
      </c>
      <c r="Q140" s="20" t="s">
        <v>610</v>
      </c>
      <c r="R140" s="22">
        <v>44597</v>
      </c>
      <c r="S140" s="20" t="s">
        <v>611</v>
      </c>
      <c r="T140" s="20" t="s">
        <v>34</v>
      </c>
      <c r="U140" s="20" t="s">
        <v>58</v>
      </c>
    </row>
    <row r="141" spans="1:21" x14ac:dyDescent="0.25">
      <c r="A141" s="19" t="s">
        <v>612</v>
      </c>
      <c r="B141" s="20" t="s">
        <v>486</v>
      </c>
      <c r="C141" s="20" t="s">
        <v>591</v>
      </c>
      <c r="D141" t="str">
        <f t="shared" si="4"/>
        <v>579-4600</v>
      </c>
      <c r="E141" t="str">
        <f t="shared" si="5"/>
        <v>ELE-MOT-001</v>
      </c>
      <c r="F141" t="s">
        <v>54</v>
      </c>
      <c r="G141" t="s">
        <v>46</v>
      </c>
      <c r="H141" t="str">
        <f>_xlfn.XLOOKUP(Table6[[#This Row],[Description]],[1]Class!$A$4:$A$660,[1]Class!$G$4:$G$660,"",0,1)</f>
        <v>CVO</v>
      </c>
      <c r="I141" s="4" t="s">
        <v>28</v>
      </c>
      <c r="J141" s="20" t="s">
        <v>181</v>
      </c>
      <c r="K141" s="22">
        <v>44410</v>
      </c>
      <c r="L141" s="20" t="s">
        <v>30</v>
      </c>
      <c r="M141" s="20" t="s">
        <v>31</v>
      </c>
      <c r="N141" s="23">
        <v>0.25</v>
      </c>
      <c r="O141" s="24">
        <f>TIMEVALUE([1]!Table1[[#This Row],[Malfunction end]])-TIMEVALUE([1]!Table1[[#This Row],[Start Malfn (T)]])</f>
        <v>1.3888888888888895E-2</v>
      </c>
      <c r="P141" s="22">
        <v>44410</v>
      </c>
      <c r="Q141" s="20" t="s">
        <v>613</v>
      </c>
      <c r="R141" s="22">
        <v>44410</v>
      </c>
      <c r="S141" s="20" t="s">
        <v>148</v>
      </c>
      <c r="T141" s="20" t="s">
        <v>34</v>
      </c>
      <c r="U141" s="20" t="s">
        <v>58</v>
      </c>
    </row>
    <row r="142" spans="1:21" x14ac:dyDescent="0.25">
      <c r="A142" s="19" t="s">
        <v>614</v>
      </c>
      <c r="B142" s="20" t="s">
        <v>615</v>
      </c>
      <c r="C142" s="20" t="s">
        <v>616</v>
      </c>
      <c r="D142" t="str">
        <f t="shared" si="4"/>
        <v>579-4600</v>
      </c>
      <c r="E142" t="str">
        <f t="shared" si="5"/>
        <v>ELE-PNL-001</v>
      </c>
      <c r="F142" t="s">
        <v>54</v>
      </c>
      <c r="G142" t="s">
        <v>46</v>
      </c>
      <c r="H142" t="str">
        <f>_xlfn.XLOOKUP(Table6[[#This Row],[Description]],[1]Class!$A$4:$A$660,[1]Class!$G$4:$G$660,"",0,1)</f>
        <v>CVO</v>
      </c>
      <c r="I142" s="2" t="s">
        <v>28</v>
      </c>
      <c r="J142" s="20" t="s">
        <v>47</v>
      </c>
      <c r="K142" s="22">
        <v>44414</v>
      </c>
      <c r="L142" s="20" t="s">
        <v>30</v>
      </c>
      <c r="M142" s="20" t="s">
        <v>31</v>
      </c>
      <c r="N142" s="23">
        <v>0.59</v>
      </c>
      <c r="O142" s="24">
        <f>TIMEVALUE([1]!Table1[[#This Row],[Malfunction end]])-TIMEVALUE([1]!Table1[[#This Row],[Start Malfn (T)]])</f>
        <v>2.5289351851851882E-2</v>
      </c>
      <c r="P142" s="22">
        <v>44414</v>
      </c>
      <c r="Q142" s="20" t="s">
        <v>617</v>
      </c>
      <c r="R142" s="22">
        <v>44414</v>
      </c>
      <c r="S142" s="20" t="s">
        <v>618</v>
      </c>
      <c r="T142" s="20" t="s">
        <v>34</v>
      </c>
      <c r="U142" s="20" t="s">
        <v>58</v>
      </c>
    </row>
    <row r="143" spans="1:21" x14ac:dyDescent="0.25">
      <c r="A143" s="19" t="s">
        <v>619</v>
      </c>
      <c r="B143" s="20" t="s">
        <v>620</v>
      </c>
      <c r="C143" s="20" t="s">
        <v>616</v>
      </c>
      <c r="D143" t="str">
        <f t="shared" si="4"/>
        <v>579-4600</v>
      </c>
      <c r="E143" t="str">
        <f t="shared" si="5"/>
        <v>ELE-PNL-001</v>
      </c>
      <c r="F143" t="s">
        <v>54</v>
      </c>
      <c r="G143" t="s">
        <v>46</v>
      </c>
      <c r="H143" t="str">
        <f>_xlfn.XLOOKUP(Table6[[#This Row],[Description]],[1]Class!$A$4:$A$660,[1]Class!$G$4:$G$660,"",0,1)</f>
        <v>CVO</v>
      </c>
      <c r="I143" s="2" t="s">
        <v>28</v>
      </c>
      <c r="J143" s="20" t="s">
        <v>29</v>
      </c>
      <c r="K143" s="22">
        <v>44596</v>
      </c>
      <c r="L143" s="20" t="s">
        <v>30</v>
      </c>
      <c r="M143" s="20" t="s">
        <v>31</v>
      </c>
      <c r="N143" s="23">
        <v>0.37</v>
      </c>
      <c r="O143" s="24">
        <f>TIMEVALUE([1]!Table1[[#This Row],[Malfunction end]])-TIMEVALUE([1]!Table1[[#This Row],[Start Malfn (T)]])</f>
        <v>3.5370370370370385E-2</v>
      </c>
      <c r="P143" s="22">
        <v>44596</v>
      </c>
      <c r="Q143" s="20" t="s">
        <v>621</v>
      </c>
      <c r="R143" s="22">
        <v>44596</v>
      </c>
      <c r="S143" s="20" t="s">
        <v>622</v>
      </c>
      <c r="T143" s="20" t="s">
        <v>34</v>
      </c>
      <c r="U143" s="20" t="s">
        <v>58</v>
      </c>
    </row>
    <row r="144" spans="1:21" x14ac:dyDescent="0.25">
      <c r="A144" s="19" t="s">
        <v>623</v>
      </c>
      <c r="B144" s="20" t="s">
        <v>206</v>
      </c>
      <c r="C144" s="20" t="s">
        <v>616</v>
      </c>
      <c r="D144" t="str">
        <f t="shared" si="4"/>
        <v>579-4600</v>
      </c>
      <c r="E144" t="str">
        <f t="shared" si="5"/>
        <v>ELE-PNL-001</v>
      </c>
      <c r="F144" t="s">
        <v>54</v>
      </c>
      <c r="G144" t="s">
        <v>46</v>
      </c>
      <c r="H144" t="str">
        <f>_xlfn.XLOOKUP(Table6[[#This Row],[Description]],[1]Class!$A$4:$A$660,[1]Class!$G$4:$G$660,"",0,1)</f>
        <v>CVO</v>
      </c>
      <c r="I144" s="4" t="s">
        <v>28</v>
      </c>
      <c r="J144" s="20" t="s">
        <v>29</v>
      </c>
      <c r="K144" s="22">
        <v>44512</v>
      </c>
      <c r="L144" s="20" t="s">
        <v>30</v>
      </c>
      <c r="M144" s="20" t="s">
        <v>31</v>
      </c>
      <c r="N144" s="23">
        <v>0.4</v>
      </c>
      <c r="O144" s="24">
        <f>TIMEVALUE([1]!Table1[[#This Row],[Malfunction end]])-TIMEVALUE([1]!Table1[[#This Row],[Start Malfn (T)]])</f>
        <v>1.736111111111116E-2</v>
      </c>
      <c r="P144" s="22">
        <v>44512</v>
      </c>
      <c r="Q144" s="20" t="s">
        <v>624</v>
      </c>
      <c r="R144" s="22">
        <v>44512</v>
      </c>
      <c r="S144" s="20" t="s">
        <v>625</v>
      </c>
      <c r="T144" s="20" t="s">
        <v>34</v>
      </c>
      <c r="U144" s="20" t="s">
        <v>58</v>
      </c>
    </row>
    <row r="145" spans="1:21" x14ac:dyDescent="0.25">
      <c r="A145" s="19" t="s">
        <v>626</v>
      </c>
      <c r="B145" s="20" t="s">
        <v>497</v>
      </c>
      <c r="C145" s="20" t="s">
        <v>616</v>
      </c>
      <c r="D145" t="str">
        <f t="shared" si="4"/>
        <v>579-4600</v>
      </c>
      <c r="E145" t="str">
        <f t="shared" si="5"/>
        <v>ELE-PNL-001</v>
      </c>
      <c r="F145" t="s">
        <v>54</v>
      </c>
      <c r="G145" t="s">
        <v>46</v>
      </c>
      <c r="H145" t="str">
        <f>_xlfn.XLOOKUP(Table6[[#This Row],[Description]],[1]Class!$A$4:$A$660,[1]Class!$G$4:$G$660,"",0,1)</f>
        <v>CVO</v>
      </c>
      <c r="I145" s="2" t="s">
        <v>28</v>
      </c>
      <c r="J145" s="20" t="s">
        <v>47</v>
      </c>
      <c r="K145" s="22">
        <v>44406</v>
      </c>
      <c r="L145" s="20" t="s">
        <v>30</v>
      </c>
      <c r="M145" s="20" t="s">
        <v>31</v>
      </c>
      <c r="N145" s="23">
        <v>0.56999999999999995</v>
      </c>
      <c r="O145" s="24">
        <f>TIMEVALUE([1]!Table1[[#This Row],[Malfunction end]])-TIMEVALUE([1]!Table1[[#This Row],[Start Malfn (T)]])</f>
        <v>-0.23407407407407399</v>
      </c>
      <c r="P145" s="22">
        <v>44406</v>
      </c>
      <c r="Q145" s="20" t="s">
        <v>627</v>
      </c>
      <c r="R145" s="22">
        <v>44406</v>
      </c>
      <c r="S145" s="20" t="s">
        <v>628</v>
      </c>
      <c r="T145" s="20" t="s">
        <v>34</v>
      </c>
      <c r="U145" s="20" t="s">
        <v>58</v>
      </c>
    </row>
    <row r="146" spans="1:21" x14ac:dyDescent="0.25">
      <c r="A146" s="19" t="s">
        <v>629</v>
      </c>
      <c r="B146" s="20" t="s">
        <v>630</v>
      </c>
      <c r="C146" s="20" t="s">
        <v>616</v>
      </c>
      <c r="D146" t="str">
        <f t="shared" si="4"/>
        <v>579-4600</v>
      </c>
      <c r="E146" t="str">
        <f t="shared" si="5"/>
        <v>ELE-PNL-001</v>
      </c>
      <c r="F146" t="s">
        <v>54</v>
      </c>
      <c r="G146" t="s">
        <v>46</v>
      </c>
      <c r="H146" t="str">
        <f>_xlfn.XLOOKUP(Table6[[#This Row],[Description]],[1]Class!$A$4:$A$660,[1]Class!$G$4:$G$660,"",0,1)</f>
        <v>Metal Detector</v>
      </c>
      <c r="I146" s="2" t="s">
        <v>28</v>
      </c>
      <c r="J146" s="20" t="s">
        <v>47</v>
      </c>
      <c r="K146" s="22">
        <v>44638</v>
      </c>
      <c r="L146" s="20" t="s">
        <v>30</v>
      </c>
      <c r="M146" s="20" t="s">
        <v>31</v>
      </c>
      <c r="N146" s="23">
        <v>0.39</v>
      </c>
      <c r="O146" s="24">
        <f>TIMEVALUE([1]!Table1[[#This Row],[Malfunction end]])-TIMEVALUE([1]!Table1[[#This Row],[Start Malfn (T)]])</f>
        <v>3.2349537037037052E-2</v>
      </c>
      <c r="P146" s="22">
        <v>44638</v>
      </c>
      <c r="Q146" s="20" t="s">
        <v>631</v>
      </c>
      <c r="R146" s="22">
        <v>44638</v>
      </c>
      <c r="S146" s="20" t="s">
        <v>632</v>
      </c>
      <c r="T146" s="20" t="s">
        <v>34</v>
      </c>
      <c r="U146" s="20" t="s">
        <v>58</v>
      </c>
    </row>
    <row r="147" spans="1:21" x14ac:dyDescent="0.25">
      <c r="A147" s="19" t="s">
        <v>633</v>
      </c>
      <c r="B147" s="20" t="s">
        <v>634</v>
      </c>
      <c r="C147" s="20" t="s">
        <v>616</v>
      </c>
      <c r="D147" t="str">
        <f t="shared" si="4"/>
        <v>579-4600</v>
      </c>
      <c r="E147" t="str">
        <f t="shared" si="5"/>
        <v>ELE-PNL-001</v>
      </c>
      <c r="F147" t="s">
        <v>54</v>
      </c>
      <c r="G147" t="s">
        <v>46</v>
      </c>
      <c r="H147" t="str">
        <f>_xlfn.XLOOKUP(Table6[[#This Row],[Description]],[1]Class!$A$4:$A$660,[1]Class!$G$4:$G$660,"",0,1)</f>
        <v>Tear</v>
      </c>
      <c r="I147" s="4" t="s">
        <v>28</v>
      </c>
      <c r="J147" s="20" t="s">
        <v>55</v>
      </c>
      <c r="K147" s="22">
        <v>45273</v>
      </c>
      <c r="L147" s="20" t="s">
        <v>30</v>
      </c>
      <c r="M147" s="20" t="s">
        <v>31</v>
      </c>
      <c r="N147" s="23">
        <v>0.32</v>
      </c>
      <c r="O147" s="24">
        <f>TIMEVALUE([1]!Table1[[#This Row],[Malfunction end]])-TIMEVALUE([1]!Table1[[#This Row],[Start Malfn (T)]])</f>
        <v>-0.85388888888888892</v>
      </c>
      <c r="P147" s="22">
        <v>45273</v>
      </c>
      <c r="Q147" s="20" t="s">
        <v>635</v>
      </c>
      <c r="R147" s="22">
        <v>45273</v>
      </c>
      <c r="S147" s="20" t="s">
        <v>636</v>
      </c>
      <c r="T147" s="20" t="s">
        <v>34</v>
      </c>
      <c r="U147" s="20" t="s">
        <v>58</v>
      </c>
    </row>
    <row r="148" spans="1:21" x14ac:dyDescent="0.25">
      <c r="A148" s="19" t="s">
        <v>637</v>
      </c>
      <c r="B148" s="20" t="s">
        <v>638</v>
      </c>
      <c r="C148" s="20" t="s">
        <v>616</v>
      </c>
      <c r="D148" t="str">
        <f t="shared" si="4"/>
        <v>579-4600</v>
      </c>
      <c r="E148" t="str">
        <f t="shared" si="5"/>
        <v>ELE-PNL-001</v>
      </c>
      <c r="F148" t="s">
        <v>54</v>
      </c>
      <c r="G148" t="s">
        <v>46</v>
      </c>
      <c r="H148" t="str">
        <f>_xlfn.XLOOKUP(Table6[[#This Row],[Description]],[1]Class!$A$4:$A$660,[1]Class!$G$4:$G$660,"",0,1)</f>
        <v>Blockchute</v>
      </c>
      <c r="I148" s="2" t="s">
        <v>28</v>
      </c>
      <c r="J148" s="20" t="s">
        <v>47</v>
      </c>
      <c r="K148" s="22">
        <v>44727</v>
      </c>
      <c r="L148" s="20" t="s">
        <v>30</v>
      </c>
      <c r="M148" s="20" t="s">
        <v>31</v>
      </c>
      <c r="N148" s="23">
        <v>0.87</v>
      </c>
      <c r="O148" s="24">
        <f>TIMEVALUE([1]!Table1[[#This Row],[Malfunction end]])-TIMEVALUE([1]!Table1[[#This Row],[Start Malfn (T)]])</f>
        <v>3.6111111111111094E-2</v>
      </c>
      <c r="P148" s="22">
        <v>44727</v>
      </c>
      <c r="Q148" s="20" t="s">
        <v>639</v>
      </c>
      <c r="R148" s="22">
        <v>44727</v>
      </c>
      <c r="S148" s="20" t="s">
        <v>640</v>
      </c>
      <c r="T148" s="20" t="s">
        <v>34</v>
      </c>
      <c r="U148" s="20" t="s">
        <v>58</v>
      </c>
    </row>
    <row r="149" spans="1:21" x14ac:dyDescent="0.25">
      <c r="A149" s="19" t="s">
        <v>641</v>
      </c>
      <c r="B149" s="20" t="s">
        <v>497</v>
      </c>
      <c r="C149" s="20" t="s">
        <v>616</v>
      </c>
      <c r="D149" t="str">
        <f t="shared" si="4"/>
        <v>579-4600</v>
      </c>
      <c r="E149" t="str">
        <f t="shared" si="5"/>
        <v>ELE-PNL-001</v>
      </c>
      <c r="F149" t="s">
        <v>54</v>
      </c>
      <c r="G149" t="s">
        <v>46</v>
      </c>
      <c r="H149" t="str">
        <f>_xlfn.XLOOKUP(Table6[[#This Row],[Description]],[1]Class!$A$4:$A$660,[1]Class!$G$4:$G$660,"",0,1)</f>
        <v>CVO</v>
      </c>
      <c r="I149" s="2" t="s">
        <v>28</v>
      </c>
      <c r="J149" s="20" t="s">
        <v>47</v>
      </c>
      <c r="K149" s="22">
        <v>44272</v>
      </c>
      <c r="L149" s="20" t="s">
        <v>30</v>
      </c>
      <c r="M149" s="20" t="s">
        <v>31</v>
      </c>
      <c r="N149" s="23">
        <v>0.49</v>
      </c>
      <c r="O149" s="24">
        <f>TIMEVALUE([1]!Table1[[#This Row],[Malfunction end]])-TIMEVALUE([1]!Table1[[#This Row],[Start Malfn (T)]])</f>
        <v>0.26321759259259264</v>
      </c>
      <c r="P149" s="22">
        <v>44272</v>
      </c>
      <c r="Q149" s="20" t="s">
        <v>642</v>
      </c>
      <c r="R149" s="22">
        <v>44272</v>
      </c>
      <c r="S149" s="20" t="s">
        <v>643</v>
      </c>
      <c r="T149" s="20" t="s">
        <v>34</v>
      </c>
      <c r="U149" s="20" t="s">
        <v>58</v>
      </c>
    </row>
    <row r="150" spans="1:21" x14ac:dyDescent="0.25">
      <c r="A150" s="19" t="s">
        <v>644</v>
      </c>
      <c r="B150" s="20" t="s">
        <v>645</v>
      </c>
      <c r="C150" s="20" t="s">
        <v>616</v>
      </c>
      <c r="D150" t="str">
        <f t="shared" si="4"/>
        <v>579-4600</v>
      </c>
      <c r="E150" t="str">
        <f t="shared" si="5"/>
        <v>ELE-PNL-001</v>
      </c>
      <c r="F150" t="s">
        <v>54</v>
      </c>
      <c r="G150" t="s">
        <v>46</v>
      </c>
      <c r="H150" t="str">
        <f>_xlfn.XLOOKUP(Table6[[#This Row],[Description]],[1]Class!$A$4:$A$660,[1]Class!$G$4:$G$660,"",0,1)</f>
        <v>CVO</v>
      </c>
      <c r="I150" s="4" t="s">
        <v>28</v>
      </c>
      <c r="J150" s="20" t="s">
        <v>55</v>
      </c>
      <c r="K150" s="22">
        <v>44602</v>
      </c>
      <c r="L150" s="20" t="s">
        <v>30</v>
      </c>
      <c r="M150" s="20" t="s">
        <v>31</v>
      </c>
      <c r="N150" s="23">
        <v>0.16</v>
      </c>
      <c r="O150" s="24">
        <f>TIMEVALUE([1]!Table1[[#This Row],[Malfunction end]])-TIMEVALUE([1]!Table1[[#This Row],[Start Malfn (T)]])</f>
        <v>1.3888888888888888E-2</v>
      </c>
      <c r="P150" s="22">
        <v>44602</v>
      </c>
      <c r="Q150" s="20" t="s">
        <v>646</v>
      </c>
      <c r="R150" s="22">
        <v>44602</v>
      </c>
      <c r="S150" s="20" t="s">
        <v>647</v>
      </c>
      <c r="T150" s="20" t="s">
        <v>34</v>
      </c>
      <c r="U150" s="20" t="s">
        <v>58</v>
      </c>
    </row>
    <row r="151" spans="1:21" x14ac:dyDescent="0.25">
      <c r="A151" s="19" t="s">
        <v>648</v>
      </c>
      <c r="B151" s="20" t="s">
        <v>649</v>
      </c>
      <c r="C151" s="20" t="s">
        <v>616</v>
      </c>
      <c r="D151" t="str">
        <f t="shared" si="4"/>
        <v>579-4600</v>
      </c>
      <c r="E151" t="str">
        <f t="shared" si="5"/>
        <v>ELE-PNL-001</v>
      </c>
      <c r="F151" t="s">
        <v>54</v>
      </c>
      <c r="G151" t="s">
        <v>46</v>
      </c>
      <c r="H151" t="str">
        <f>_xlfn.XLOOKUP(Table6[[#This Row],[Description]],[1]Class!$A$4:$A$660,[1]Class!$G$4:$G$660,"",0,1)</f>
        <v>CVO</v>
      </c>
      <c r="I151" s="2" t="s">
        <v>28</v>
      </c>
      <c r="J151" s="20" t="s">
        <v>215</v>
      </c>
      <c r="K151" s="22">
        <v>44358</v>
      </c>
      <c r="L151" s="20" t="s">
        <v>30</v>
      </c>
      <c r="M151" s="20" t="s">
        <v>31</v>
      </c>
      <c r="N151" s="23">
        <v>0.16</v>
      </c>
      <c r="O151" s="24">
        <f>TIMEVALUE([1]!Table1[[#This Row],[Malfunction end]])-TIMEVALUE([1]!Table1[[#This Row],[Start Malfn (T)]])</f>
        <v>2.0601851851851816E-2</v>
      </c>
      <c r="P151" s="22">
        <v>44358</v>
      </c>
      <c r="Q151" s="20" t="s">
        <v>650</v>
      </c>
      <c r="R151" s="22">
        <v>44358</v>
      </c>
      <c r="S151" s="20" t="s">
        <v>651</v>
      </c>
      <c r="T151" s="20" t="s">
        <v>34</v>
      </c>
      <c r="U151" s="20" t="s">
        <v>58</v>
      </c>
    </row>
    <row r="152" spans="1:21" x14ac:dyDescent="0.25">
      <c r="A152" s="19" t="s">
        <v>652</v>
      </c>
      <c r="B152" s="20" t="s">
        <v>653</v>
      </c>
      <c r="C152" s="20" t="s">
        <v>616</v>
      </c>
      <c r="D152" t="str">
        <f t="shared" si="4"/>
        <v>579-4600</v>
      </c>
      <c r="E152" t="str">
        <f t="shared" si="5"/>
        <v>ELE-PNL-001</v>
      </c>
      <c r="F152" t="s">
        <v>54</v>
      </c>
      <c r="G152" t="s">
        <v>46</v>
      </c>
      <c r="H152" t="str">
        <f>_xlfn.XLOOKUP(Table6[[#This Row],[Description]],[1]Class!$A$4:$A$660,[1]Class!$G$4:$G$660,"",0,1)</f>
        <v>CVO</v>
      </c>
      <c r="I152" s="2" t="s">
        <v>28</v>
      </c>
      <c r="J152" s="20" t="s">
        <v>39</v>
      </c>
      <c r="K152" s="22">
        <v>44524</v>
      </c>
      <c r="L152" s="20" t="s">
        <v>30</v>
      </c>
      <c r="M152" s="20" t="s">
        <v>31</v>
      </c>
      <c r="N152" s="23">
        <v>0.8</v>
      </c>
      <c r="O152" s="24">
        <f>TIMEVALUE([1]!Table1[[#This Row],[Malfunction end]])-TIMEVALUE([1]!Table1[[#This Row],[Start Malfn (T)]])</f>
        <v>-0.44236111111111109</v>
      </c>
      <c r="P152" s="22">
        <v>44524</v>
      </c>
      <c r="Q152" s="20" t="s">
        <v>654</v>
      </c>
      <c r="R152" s="22">
        <v>44524</v>
      </c>
      <c r="S152" s="20" t="s">
        <v>655</v>
      </c>
      <c r="T152" s="20" t="s">
        <v>34</v>
      </c>
      <c r="U152" s="20" t="s">
        <v>58</v>
      </c>
    </row>
    <row r="153" spans="1:21" x14ac:dyDescent="0.25">
      <c r="A153" s="19" t="s">
        <v>656</v>
      </c>
      <c r="B153" s="20" t="s">
        <v>620</v>
      </c>
      <c r="C153" s="20" t="s">
        <v>616</v>
      </c>
      <c r="D153" t="str">
        <f t="shared" si="4"/>
        <v>579-4600</v>
      </c>
      <c r="E153" t="str">
        <f t="shared" si="5"/>
        <v>ELE-PNL-001</v>
      </c>
      <c r="F153" t="s">
        <v>54</v>
      </c>
      <c r="G153" t="s">
        <v>46</v>
      </c>
      <c r="H153" t="str">
        <f>_xlfn.XLOOKUP(Table6[[#This Row],[Description]],[1]Class!$A$4:$A$660,[1]Class!$G$4:$G$660,"",0,1)</f>
        <v>CVO</v>
      </c>
      <c r="I153" s="4" t="s">
        <v>28</v>
      </c>
      <c r="J153" s="20" t="s">
        <v>29</v>
      </c>
      <c r="K153" s="22">
        <v>44587</v>
      </c>
      <c r="L153" s="20" t="s">
        <v>30</v>
      </c>
      <c r="M153" s="20" t="s">
        <v>31</v>
      </c>
      <c r="N153" s="23">
        <v>0.42</v>
      </c>
      <c r="O153" s="24">
        <f>TIMEVALUE([1]!Table1[[#This Row],[Malfunction end]])-TIMEVALUE([1]!Table1[[#This Row],[Start Malfn (T)]])</f>
        <v>0.10138888888888886</v>
      </c>
      <c r="P153" s="22">
        <v>44587</v>
      </c>
      <c r="Q153" s="20" t="s">
        <v>657</v>
      </c>
      <c r="R153" s="22">
        <v>44587</v>
      </c>
      <c r="S153" s="20" t="s">
        <v>658</v>
      </c>
      <c r="T153" s="20" t="s">
        <v>34</v>
      </c>
      <c r="U153" s="20" t="s">
        <v>58</v>
      </c>
    </row>
    <row r="154" spans="1:21" x14ac:dyDescent="0.25">
      <c r="A154" s="19" t="s">
        <v>659</v>
      </c>
      <c r="B154" s="20" t="s">
        <v>653</v>
      </c>
      <c r="C154" s="20" t="s">
        <v>616</v>
      </c>
      <c r="D154" t="str">
        <f t="shared" si="4"/>
        <v>579-4600</v>
      </c>
      <c r="E154" t="str">
        <f t="shared" si="5"/>
        <v>ELE-PNL-001</v>
      </c>
      <c r="F154" t="s">
        <v>54</v>
      </c>
      <c r="G154" t="s">
        <v>46</v>
      </c>
      <c r="H154" t="str">
        <f>_xlfn.XLOOKUP(Table6[[#This Row],[Description]],[1]Class!$A$4:$A$660,[1]Class!$G$4:$G$660,"",0,1)</f>
        <v>CVO</v>
      </c>
      <c r="I154" s="2" t="s">
        <v>28</v>
      </c>
      <c r="J154" s="20" t="s">
        <v>39</v>
      </c>
      <c r="K154" s="22">
        <v>44593</v>
      </c>
      <c r="L154" s="20" t="s">
        <v>30</v>
      </c>
      <c r="M154" s="20" t="s">
        <v>31</v>
      </c>
      <c r="N154" s="23">
        <v>0.45</v>
      </c>
      <c r="O154" s="24">
        <f>TIMEVALUE([1]!Table1[[#This Row],[Malfunction end]])-TIMEVALUE([1]!Table1[[#This Row],[Start Malfn (T)]])</f>
        <v>2.1249999999999991E-2</v>
      </c>
      <c r="P154" s="22">
        <v>44593</v>
      </c>
      <c r="Q154" s="20" t="s">
        <v>660</v>
      </c>
      <c r="R154" s="22">
        <v>44593</v>
      </c>
      <c r="S154" s="20" t="s">
        <v>661</v>
      </c>
      <c r="T154" s="20" t="s">
        <v>34</v>
      </c>
      <c r="U154" s="20" t="s">
        <v>58</v>
      </c>
    </row>
    <row r="155" spans="1:21" x14ac:dyDescent="0.25">
      <c r="A155" s="19" t="s">
        <v>662</v>
      </c>
      <c r="B155" s="20" t="s">
        <v>653</v>
      </c>
      <c r="C155" s="20" t="s">
        <v>616</v>
      </c>
      <c r="D155" t="str">
        <f t="shared" si="4"/>
        <v>579-4600</v>
      </c>
      <c r="E155" t="str">
        <f t="shared" si="5"/>
        <v>ELE-PNL-001</v>
      </c>
      <c r="F155" t="s">
        <v>54</v>
      </c>
      <c r="G155" t="s">
        <v>46</v>
      </c>
      <c r="H155" t="str">
        <f>_xlfn.XLOOKUP(Table6[[#This Row],[Description]],[1]Class!$A$4:$A$660,[1]Class!$G$4:$G$660,"",0,1)</f>
        <v>CVO</v>
      </c>
      <c r="I155" s="2" t="s">
        <v>28</v>
      </c>
      <c r="J155" s="20" t="s">
        <v>39</v>
      </c>
      <c r="K155" s="22">
        <v>44553</v>
      </c>
      <c r="L155" s="20" t="s">
        <v>30</v>
      </c>
      <c r="M155" s="20" t="s">
        <v>31</v>
      </c>
      <c r="N155" s="23">
        <v>0.2</v>
      </c>
      <c r="O155" s="24">
        <f>TIMEVALUE([1]!Table1[[#This Row],[Malfunction end]])-TIMEVALUE([1]!Table1[[#This Row],[Start Malfn (T)]])</f>
        <v>4.5833333333333337E-2</v>
      </c>
      <c r="P155" s="22">
        <v>44553</v>
      </c>
      <c r="Q155" s="20" t="s">
        <v>663</v>
      </c>
      <c r="R155" s="22">
        <v>44553</v>
      </c>
      <c r="S155" s="20" t="s">
        <v>664</v>
      </c>
      <c r="T155" s="20" t="s">
        <v>34</v>
      </c>
      <c r="U155" s="20" t="s">
        <v>58</v>
      </c>
    </row>
    <row r="156" spans="1:21" x14ac:dyDescent="0.25">
      <c r="A156" s="19" t="s">
        <v>665</v>
      </c>
      <c r="B156" s="20" t="s">
        <v>666</v>
      </c>
      <c r="C156" s="20" t="s">
        <v>616</v>
      </c>
      <c r="D156" t="str">
        <f t="shared" si="4"/>
        <v>579-4600</v>
      </c>
      <c r="E156" t="str">
        <f t="shared" si="5"/>
        <v>ELE-PNL-001</v>
      </c>
      <c r="F156" t="s">
        <v>54</v>
      </c>
      <c r="G156" t="s">
        <v>46</v>
      </c>
      <c r="H156" t="str">
        <f>_xlfn.XLOOKUP(Table6[[#This Row],[Description]],[1]Class!$A$4:$A$660,[1]Class!$G$4:$G$660,"",0,1)</f>
        <v>CVO</v>
      </c>
      <c r="I156" s="4" t="s">
        <v>28</v>
      </c>
      <c r="J156" s="20" t="s">
        <v>102</v>
      </c>
      <c r="K156" s="22">
        <v>44354</v>
      </c>
      <c r="L156" s="20" t="s">
        <v>30</v>
      </c>
      <c r="M156" s="20" t="s">
        <v>31</v>
      </c>
      <c r="N156" s="23">
        <v>0.33</v>
      </c>
      <c r="O156" s="24">
        <f>TIMEVALUE([1]!Table1[[#This Row],[Malfunction end]])-TIMEVALUE([1]!Table1[[#This Row],[Start Malfn (T)]])</f>
        <v>0.1978935185185185</v>
      </c>
      <c r="P156" s="22">
        <v>44353</v>
      </c>
      <c r="Q156" s="20" t="s">
        <v>667</v>
      </c>
      <c r="R156" s="22">
        <v>44353</v>
      </c>
      <c r="S156" s="20" t="s">
        <v>668</v>
      </c>
      <c r="T156" s="20" t="s">
        <v>34</v>
      </c>
      <c r="U156" s="20" t="s">
        <v>58</v>
      </c>
    </row>
    <row r="157" spans="1:21" x14ac:dyDescent="0.25">
      <c r="A157" s="19" t="s">
        <v>669</v>
      </c>
      <c r="B157" s="20" t="s">
        <v>206</v>
      </c>
      <c r="C157" s="20" t="s">
        <v>616</v>
      </c>
      <c r="D157" t="str">
        <f t="shared" si="4"/>
        <v>579-4600</v>
      </c>
      <c r="E157" t="str">
        <f t="shared" si="5"/>
        <v>ELE-PNL-001</v>
      </c>
      <c r="F157" t="s">
        <v>54</v>
      </c>
      <c r="G157" t="s">
        <v>46</v>
      </c>
      <c r="H157" t="str">
        <f>_xlfn.XLOOKUP(Table6[[#This Row],[Description]],[1]Class!$A$4:$A$660,[1]Class!$G$4:$G$660,"",0,1)</f>
        <v>CVO</v>
      </c>
      <c r="I157" s="2" t="s">
        <v>28</v>
      </c>
      <c r="J157" s="20" t="s">
        <v>29</v>
      </c>
      <c r="K157" s="22">
        <v>45014</v>
      </c>
      <c r="L157" s="20" t="s">
        <v>30</v>
      </c>
      <c r="M157" s="20" t="s">
        <v>31</v>
      </c>
      <c r="N157" s="23">
        <v>0.67</v>
      </c>
      <c r="O157" s="24">
        <f>TIMEVALUE([1]!Table1[[#This Row],[Malfunction end]])-TIMEVALUE([1]!Table1[[#This Row],[Start Malfn (T)]])</f>
        <v>6.9444444444444198E-3</v>
      </c>
      <c r="P157" s="22">
        <v>45014</v>
      </c>
      <c r="Q157" s="20" t="s">
        <v>670</v>
      </c>
      <c r="R157" s="22">
        <v>45014</v>
      </c>
      <c r="S157" s="20" t="s">
        <v>671</v>
      </c>
      <c r="T157" s="20" t="s">
        <v>34</v>
      </c>
      <c r="U157" s="20" t="s">
        <v>58</v>
      </c>
    </row>
    <row r="158" spans="1:21" x14ac:dyDescent="0.25">
      <c r="A158" s="19" t="s">
        <v>672</v>
      </c>
      <c r="B158" s="20" t="s">
        <v>673</v>
      </c>
      <c r="C158" s="20" t="s">
        <v>616</v>
      </c>
      <c r="D158" t="str">
        <f t="shared" si="4"/>
        <v>579-4600</v>
      </c>
      <c r="E158" t="str">
        <f t="shared" si="5"/>
        <v>ELE-PNL-001</v>
      </c>
      <c r="F158" t="s">
        <v>54</v>
      </c>
      <c r="G158" t="s">
        <v>46</v>
      </c>
      <c r="H158" t="str">
        <f>_xlfn.XLOOKUP(Table6[[#This Row],[Description]],[1]Class!$A$4:$A$660,[1]Class!$G$4:$G$660,"",0,1)</f>
        <v>Metal Detector</v>
      </c>
      <c r="I158" s="2" t="s">
        <v>28</v>
      </c>
      <c r="J158" s="20" t="s">
        <v>47</v>
      </c>
      <c r="K158" s="22">
        <v>44639</v>
      </c>
      <c r="L158" s="20" t="s">
        <v>30</v>
      </c>
      <c r="M158" s="20" t="s">
        <v>31</v>
      </c>
      <c r="N158" s="23">
        <v>1.1399999999999999</v>
      </c>
      <c r="O158" s="24">
        <f>TIMEVALUE([1]!Table1[[#This Row],[Malfunction end]])-TIMEVALUE([1]!Table1[[#This Row],[Start Malfn (T)]])</f>
        <v>2.387731481481481E-2</v>
      </c>
      <c r="P158" s="22">
        <v>44639</v>
      </c>
      <c r="Q158" s="20" t="s">
        <v>674</v>
      </c>
      <c r="R158" s="22">
        <v>44639</v>
      </c>
      <c r="S158" s="20" t="s">
        <v>675</v>
      </c>
      <c r="T158" s="20" t="s">
        <v>34</v>
      </c>
      <c r="U158" s="20" t="s">
        <v>58</v>
      </c>
    </row>
    <row r="159" spans="1:21" x14ac:dyDescent="0.25">
      <c r="A159" s="19" t="s">
        <v>676</v>
      </c>
      <c r="B159" s="20" t="s">
        <v>497</v>
      </c>
      <c r="C159" s="20" t="s">
        <v>616</v>
      </c>
      <c r="D159" t="str">
        <f t="shared" si="4"/>
        <v>579-4600</v>
      </c>
      <c r="E159" t="str">
        <f t="shared" si="5"/>
        <v>ELE-PNL-001</v>
      </c>
      <c r="F159" t="s">
        <v>54</v>
      </c>
      <c r="G159" t="s">
        <v>46</v>
      </c>
      <c r="H159" t="str">
        <f>_xlfn.XLOOKUP(Table6[[#This Row],[Description]],[1]Class!$A$4:$A$660,[1]Class!$G$4:$G$660,"",0,1)</f>
        <v>CVO</v>
      </c>
      <c r="I159" s="4" t="s">
        <v>28</v>
      </c>
      <c r="J159" s="20" t="s">
        <v>47</v>
      </c>
      <c r="K159" s="22">
        <v>44350</v>
      </c>
      <c r="L159" s="20" t="s">
        <v>30</v>
      </c>
      <c r="M159" s="20" t="s">
        <v>31</v>
      </c>
      <c r="N159" s="23">
        <v>0.51</v>
      </c>
      <c r="O159" s="24">
        <f>TIMEVALUE([1]!Table1[[#This Row],[Malfunction end]])-TIMEVALUE([1]!Table1[[#This Row],[Start Malfn (T)]])</f>
        <v>1.3391203703703614E-2</v>
      </c>
      <c r="P159" s="22">
        <v>44350</v>
      </c>
      <c r="Q159" s="20" t="s">
        <v>677</v>
      </c>
      <c r="R159" s="22">
        <v>44350</v>
      </c>
      <c r="S159" s="20" t="s">
        <v>678</v>
      </c>
      <c r="T159" s="20" t="s">
        <v>34</v>
      </c>
      <c r="U159" s="20" t="s">
        <v>58</v>
      </c>
    </row>
    <row r="160" spans="1:21" x14ac:dyDescent="0.25">
      <c r="A160" s="19" t="s">
        <v>679</v>
      </c>
      <c r="B160" s="20" t="s">
        <v>497</v>
      </c>
      <c r="C160" s="20" t="s">
        <v>616</v>
      </c>
      <c r="D160" t="str">
        <f t="shared" si="4"/>
        <v>579-4600</v>
      </c>
      <c r="E160" t="str">
        <f t="shared" si="5"/>
        <v>ELE-PNL-001</v>
      </c>
      <c r="F160" t="s">
        <v>54</v>
      </c>
      <c r="G160" t="s">
        <v>46</v>
      </c>
      <c r="H160" t="str">
        <f>_xlfn.XLOOKUP(Table6[[#This Row],[Description]],[1]Class!$A$4:$A$660,[1]Class!$G$4:$G$660,"",0,1)</f>
        <v>CVO</v>
      </c>
      <c r="I160" s="2" t="s">
        <v>28</v>
      </c>
      <c r="J160" s="20" t="s">
        <v>408</v>
      </c>
      <c r="K160" s="22">
        <v>44407</v>
      </c>
      <c r="L160" s="20" t="s">
        <v>30</v>
      </c>
      <c r="M160" s="20" t="s">
        <v>31</v>
      </c>
      <c r="N160" s="23">
        <v>0.17</v>
      </c>
      <c r="O160" s="24">
        <f>TIMEVALUE([1]!Table1[[#This Row],[Malfunction end]])-TIMEVALUE([1]!Table1[[#This Row],[Start Malfn (T)]])</f>
        <v>1.2361111111111101E-2</v>
      </c>
      <c r="P160" s="22">
        <v>44406</v>
      </c>
      <c r="Q160" s="20" t="s">
        <v>680</v>
      </c>
      <c r="R160" s="22">
        <v>44406</v>
      </c>
      <c r="S160" s="20" t="s">
        <v>681</v>
      </c>
      <c r="T160" s="20" t="s">
        <v>34</v>
      </c>
      <c r="U160" s="20" t="s">
        <v>58</v>
      </c>
    </row>
    <row r="161" spans="1:21" x14ac:dyDescent="0.25">
      <c r="A161" s="19" t="s">
        <v>682</v>
      </c>
      <c r="B161" s="20" t="s">
        <v>683</v>
      </c>
      <c r="C161" s="20" t="s">
        <v>616</v>
      </c>
      <c r="D161" t="str">
        <f t="shared" si="4"/>
        <v>579-4600</v>
      </c>
      <c r="E161" t="str">
        <f t="shared" si="5"/>
        <v>ELE-PNL-001</v>
      </c>
      <c r="F161" t="s">
        <v>54</v>
      </c>
      <c r="G161" t="s">
        <v>46</v>
      </c>
      <c r="H161" t="str">
        <f>_xlfn.XLOOKUP(Table6[[#This Row],[Description]],[1]Class!$A$4:$A$660,[1]Class!$G$4:$G$660,"",0,1)</f>
        <v>CVO</v>
      </c>
      <c r="I161" s="2" t="s">
        <v>28</v>
      </c>
      <c r="J161" s="20" t="s">
        <v>102</v>
      </c>
      <c r="K161" s="22">
        <v>44390</v>
      </c>
      <c r="L161" s="20" t="s">
        <v>30</v>
      </c>
      <c r="M161" s="20" t="s">
        <v>31</v>
      </c>
      <c r="N161" s="23">
        <v>0.38</v>
      </c>
      <c r="O161" s="24">
        <f>TIMEVALUE([1]!Table1[[#This Row],[Malfunction end]])-TIMEVALUE([1]!Table1[[#This Row],[Start Malfn (T)]])</f>
        <v>3.2523148148148162E-2</v>
      </c>
      <c r="P161" s="22">
        <v>44390</v>
      </c>
      <c r="Q161" s="20" t="s">
        <v>684</v>
      </c>
      <c r="R161" s="22">
        <v>44390</v>
      </c>
      <c r="S161" s="20" t="s">
        <v>685</v>
      </c>
      <c r="T161" s="20" t="s">
        <v>34</v>
      </c>
      <c r="U161" s="20" t="s">
        <v>58</v>
      </c>
    </row>
    <row r="162" spans="1:21" x14ac:dyDescent="0.25">
      <c r="A162" s="19" t="s">
        <v>686</v>
      </c>
      <c r="B162" s="20" t="s">
        <v>620</v>
      </c>
      <c r="C162" s="20" t="s">
        <v>616</v>
      </c>
      <c r="D162" t="str">
        <f t="shared" si="4"/>
        <v>579-4600</v>
      </c>
      <c r="E162" t="str">
        <f t="shared" si="5"/>
        <v>ELE-PNL-001</v>
      </c>
      <c r="F162" t="s">
        <v>54</v>
      </c>
      <c r="G162" t="s">
        <v>46</v>
      </c>
      <c r="H162" t="str">
        <f>_xlfn.XLOOKUP(Table6[[#This Row],[Description]],[1]Class!$A$4:$A$660,[1]Class!$G$4:$G$660,"",0,1)</f>
        <v>CVO</v>
      </c>
      <c r="I162" s="4" t="s">
        <v>28</v>
      </c>
      <c r="J162" s="20" t="s">
        <v>29</v>
      </c>
      <c r="K162" s="22">
        <v>44588</v>
      </c>
      <c r="L162" s="20" t="s">
        <v>30</v>
      </c>
      <c r="M162" s="20" t="s">
        <v>31</v>
      </c>
      <c r="N162" s="23">
        <v>0.66</v>
      </c>
      <c r="O162" s="24">
        <f>TIMEVALUE([1]!Table1[[#This Row],[Malfunction end]])-TIMEVALUE([1]!Table1[[#This Row],[Start Malfn (T)]])</f>
        <v>2.2222222222222199E-2</v>
      </c>
      <c r="P162" s="22">
        <v>44588</v>
      </c>
      <c r="Q162" s="20" t="s">
        <v>687</v>
      </c>
      <c r="R162" s="22">
        <v>44588</v>
      </c>
      <c r="S162" s="20" t="s">
        <v>688</v>
      </c>
      <c r="T162" s="20" t="s">
        <v>34</v>
      </c>
      <c r="U162" s="20" t="s">
        <v>58</v>
      </c>
    </row>
    <row r="163" spans="1:21" x14ac:dyDescent="0.25">
      <c r="A163" s="19" t="s">
        <v>689</v>
      </c>
      <c r="B163" s="20" t="s">
        <v>690</v>
      </c>
      <c r="C163" s="20" t="s">
        <v>616</v>
      </c>
      <c r="D163" t="str">
        <f t="shared" si="4"/>
        <v>579-4600</v>
      </c>
      <c r="E163" t="str">
        <f t="shared" si="5"/>
        <v>ELE-PNL-001</v>
      </c>
      <c r="F163" t="s">
        <v>54</v>
      </c>
      <c r="G163" t="s">
        <v>46</v>
      </c>
      <c r="H163" t="str">
        <f>_xlfn.XLOOKUP(Table6[[#This Row],[Description]],[1]Class!$A$4:$A$660,[1]Class!$G$4:$G$660,"",0,1)</f>
        <v>CVO</v>
      </c>
      <c r="I163" s="2" t="s">
        <v>28</v>
      </c>
      <c r="J163" s="20" t="s">
        <v>102</v>
      </c>
      <c r="K163" s="22">
        <v>44258</v>
      </c>
      <c r="L163" s="20" t="s">
        <v>30</v>
      </c>
      <c r="M163" s="20" t="s">
        <v>31</v>
      </c>
      <c r="N163" s="23">
        <v>0.5</v>
      </c>
      <c r="O163" s="24">
        <f>TIMEVALUE([1]!Table1[[#This Row],[Malfunction end]])-TIMEVALUE([1]!Table1[[#This Row],[Start Malfn (T)]])</f>
        <v>3.6365740740740726E-2</v>
      </c>
      <c r="P163" s="22">
        <v>44258</v>
      </c>
      <c r="Q163" s="20" t="s">
        <v>691</v>
      </c>
      <c r="R163" s="22">
        <v>44258</v>
      </c>
      <c r="S163" s="20" t="s">
        <v>692</v>
      </c>
      <c r="T163" s="20" t="s">
        <v>34</v>
      </c>
      <c r="U163" s="20" t="s">
        <v>58</v>
      </c>
    </row>
    <row r="164" spans="1:21" x14ac:dyDescent="0.25">
      <c r="A164" s="19" t="s">
        <v>693</v>
      </c>
      <c r="B164" s="20" t="s">
        <v>497</v>
      </c>
      <c r="C164" s="20" t="s">
        <v>616</v>
      </c>
      <c r="D164" t="str">
        <f t="shared" si="4"/>
        <v>579-4600</v>
      </c>
      <c r="E164" t="str">
        <f t="shared" si="5"/>
        <v>ELE-PNL-001</v>
      </c>
      <c r="F164" t="s">
        <v>54</v>
      </c>
      <c r="G164" t="s">
        <v>46</v>
      </c>
      <c r="H164" t="str">
        <f>_xlfn.XLOOKUP(Table6[[#This Row],[Description]],[1]Class!$A$4:$A$660,[1]Class!$G$4:$G$660,"",0,1)</f>
        <v>CVO</v>
      </c>
      <c r="I164" s="2" t="s">
        <v>28</v>
      </c>
      <c r="J164" s="20" t="s">
        <v>47</v>
      </c>
      <c r="K164" s="22">
        <v>44488</v>
      </c>
      <c r="L164" s="20" t="s">
        <v>30</v>
      </c>
      <c r="M164" s="20" t="s">
        <v>31</v>
      </c>
      <c r="N164" s="23">
        <v>0.81</v>
      </c>
      <c r="O164" s="24">
        <f>TIMEVALUE([1]!Table1[[#This Row],[Malfunction end]])-TIMEVALUE([1]!Table1[[#This Row],[Start Malfn (T)]])</f>
        <v>9.7222222222222293E-3</v>
      </c>
      <c r="P164" s="22">
        <v>44488</v>
      </c>
      <c r="Q164" s="20" t="s">
        <v>694</v>
      </c>
      <c r="R164" s="22">
        <v>44488</v>
      </c>
      <c r="S164" s="20" t="s">
        <v>695</v>
      </c>
      <c r="T164" s="20" t="s">
        <v>34</v>
      </c>
      <c r="U164" s="20" t="s">
        <v>58</v>
      </c>
    </row>
    <row r="165" spans="1:21" x14ac:dyDescent="0.25">
      <c r="A165" s="19" t="s">
        <v>696</v>
      </c>
      <c r="B165" s="20" t="s">
        <v>697</v>
      </c>
      <c r="C165" s="20" t="s">
        <v>616</v>
      </c>
      <c r="D165" t="str">
        <f t="shared" si="4"/>
        <v>579-4600</v>
      </c>
      <c r="E165" t="str">
        <f t="shared" si="5"/>
        <v>ELE-PNL-001</v>
      </c>
      <c r="F165" t="s">
        <v>54</v>
      </c>
      <c r="G165" t="s">
        <v>54</v>
      </c>
      <c r="H165" t="str">
        <f>_xlfn.XLOOKUP(Table6[[#This Row],[Description]],[1]Class!$A$4:$A$660,[1]Class!$G$4:$G$660,"",0,1)</f>
        <v/>
      </c>
      <c r="I165" s="4" t="s">
        <v>28</v>
      </c>
      <c r="J165" s="20" t="s">
        <v>47</v>
      </c>
      <c r="K165" s="22">
        <v>44729</v>
      </c>
      <c r="L165" s="20" t="s">
        <v>30</v>
      </c>
      <c r="M165" s="20" t="s">
        <v>31</v>
      </c>
      <c r="N165" s="23">
        <v>0.46</v>
      </c>
      <c r="O165" s="24">
        <f>TIMEVALUE([1]!Table1[[#This Row],[Malfunction end]])-TIMEVALUE([1]!Table1[[#This Row],[Start Malfn (T)]])</f>
        <v>5.243055555555598E-3</v>
      </c>
      <c r="P165" s="22">
        <v>44729</v>
      </c>
      <c r="Q165" s="20" t="s">
        <v>698</v>
      </c>
      <c r="R165" s="22">
        <v>44729</v>
      </c>
      <c r="S165" s="20" t="s">
        <v>699</v>
      </c>
      <c r="T165" s="20" t="s">
        <v>34</v>
      </c>
      <c r="U165" s="20" t="s">
        <v>58</v>
      </c>
    </row>
    <row r="166" spans="1:21" x14ac:dyDescent="0.25">
      <c r="A166" s="19" t="s">
        <v>700</v>
      </c>
      <c r="B166" s="20" t="s">
        <v>701</v>
      </c>
      <c r="C166" s="20" t="s">
        <v>616</v>
      </c>
      <c r="D166" t="str">
        <f t="shared" si="4"/>
        <v>579-4600</v>
      </c>
      <c r="E166" t="str">
        <f t="shared" si="5"/>
        <v>ELE-PNL-001</v>
      </c>
      <c r="F166" t="s">
        <v>54</v>
      </c>
      <c r="G166" t="s">
        <v>46</v>
      </c>
      <c r="H166" t="str">
        <f>_xlfn.XLOOKUP(Table6[[#This Row],[Description]],[1]Class!$A$4:$A$660,[1]Class!$G$4:$G$660,"",0,1)</f>
        <v>CVO</v>
      </c>
      <c r="I166" s="2" t="s">
        <v>28</v>
      </c>
      <c r="J166" s="20" t="s">
        <v>39</v>
      </c>
      <c r="K166" s="22">
        <v>44310</v>
      </c>
      <c r="L166" s="20" t="s">
        <v>30</v>
      </c>
      <c r="M166" s="20" t="s">
        <v>31</v>
      </c>
      <c r="N166" s="23">
        <v>0.42</v>
      </c>
      <c r="O166" s="24">
        <f>TIMEVALUE([1]!Table1[[#This Row],[Malfunction end]])-TIMEVALUE([1]!Table1[[#This Row],[Start Malfn (T)]])</f>
        <v>2.083333333333337E-2</v>
      </c>
      <c r="P166" s="22">
        <v>44309</v>
      </c>
      <c r="Q166" s="20" t="s">
        <v>529</v>
      </c>
      <c r="R166" s="22">
        <v>44309</v>
      </c>
      <c r="S166" s="20" t="s">
        <v>702</v>
      </c>
      <c r="T166" s="20" t="s">
        <v>34</v>
      </c>
      <c r="U166" s="20" t="s">
        <v>58</v>
      </c>
    </row>
    <row r="167" spans="1:21" x14ac:dyDescent="0.25">
      <c r="A167" s="19" t="s">
        <v>703</v>
      </c>
      <c r="B167" s="20" t="s">
        <v>704</v>
      </c>
      <c r="C167" s="20" t="s">
        <v>616</v>
      </c>
      <c r="D167" t="str">
        <f t="shared" si="4"/>
        <v>579-4600</v>
      </c>
      <c r="E167" t="str">
        <f t="shared" si="5"/>
        <v>ELE-PNL-001</v>
      </c>
      <c r="F167" t="s">
        <v>54</v>
      </c>
      <c r="G167" t="s">
        <v>46</v>
      </c>
      <c r="H167" t="str">
        <f>_xlfn.XLOOKUP(Table6[[#This Row],[Description]],[1]Class!$A$4:$A$660,[1]Class!$G$4:$G$660,"",0,1)</f>
        <v>Comms</v>
      </c>
      <c r="I167" s="2" t="s">
        <v>28</v>
      </c>
      <c r="J167" s="20" t="s">
        <v>29</v>
      </c>
      <c r="K167" s="22">
        <v>44713</v>
      </c>
      <c r="L167" s="20" t="s">
        <v>30</v>
      </c>
      <c r="M167" s="20" t="s">
        <v>31</v>
      </c>
      <c r="N167" s="23">
        <v>0.44</v>
      </c>
      <c r="O167" s="24">
        <f>TIMEVALUE([1]!Table1[[#This Row],[Malfunction end]])-TIMEVALUE([1]!Table1[[#This Row],[Start Malfn (T)]])</f>
        <v>6.9444444444444475E-3</v>
      </c>
      <c r="P167" s="22">
        <v>44713</v>
      </c>
      <c r="Q167" s="20" t="s">
        <v>705</v>
      </c>
      <c r="R167" s="22">
        <v>44713</v>
      </c>
      <c r="S167" s="20" t="s">
        <v>706</v>
      </c>
      <c r="T167" s="20" t="s">
        <v>34</v>
      </c>
      <c r="U167" s="20" t="s">
        <v>58</v>
      </c>
    </row>
    <row r="168" spans="1:21" x14ac:dyDescent="0.25">
      <c r="A168" s="19" t="s">
        <v>707</v>
      </c>
      <c r="B168" s="20" t="s">
        <v>620</v>
      </c>
      <c r="C168" s="20" t="s">
        <v>616</v>
      </c>
      <c r="D168" t="str">
        <f t="shared" si="4"/>
        <v>579-4600</v>
      </c>
      <c r="E168" t="str">
        <f t="shared" si="5"/>
        <v>ELE-PNL-001</v>
      </c>
      <c r="F168" t="s">
        <v>54</v>
      </c>
      <c r="G168" t="s">
        <v>46</v>
      </c>
      <c r="H168" t="str">
        <f>_xlfn.XLOOKUP(Table6[[#This Row],[Description]],[1]Class!$A$4:$A$660,[1]Class!$G$4:$G$660,"",0,1)</f>
        <v>CVO</v>
      </c>
      <c r="I168" s="4" t="s">
        <v>28</v>
      </c>
      <c r="J168" s="20" t="s">
        <v>29</v>
      </c>
      <c r="K168" s="22">
        <v>44677</v>
      </c>
      <c r="L168" s="20" t="s">
        <v>30</v>
      </c>
      <c r="M168" s="20" t="s">
        <v>31</v>
      </c>
      <c r="N168" s="23">
        <v>0.33</v>
      </c>
      <c r="O168" s="24">
        <f>TIMEVALUE([1]!Table1[[#This Row],[Malfunction end]])-TIMEVALUE([1]!Table1[[#This Row],[Start Malfn (T)]])</f>
        <v>1.0671296296296318E-2</v>
      </c>
      <c r="P168" s="22">
        <v>44677</v>
      </c>
      <c r="Q168" s="20" t="s">
        <v>708</v>
      </c>
      <c r="R168" s="22">
        <v>44677</v>
      </c>
      <c r="S168" s="20" t="s">
        <v>709</v>
      </c>
      <c r="T168" s="20" t="s">
        <v>34</v>
      </c>
      <c r="U168" s="20" t="s">
        <v>58</v>
      </c>
    </row>
    <row r="169" spans="1:21" x14ac:dyDescent="0.25">
      <c r="A169" s="19" t="s">
        <v>710</v>
      </c>
      <c r="B169" s="20" t="s">
        <v>649</v>
      </c>
      <c r="C169" s="20" t="s">
        <v>616</v>
      </c>
      <c r="D169" t="str">
        <f t="shared" si="4"/>
        <v>579-4600</v>
      </c>
      <c r="E169" t="str">
        <f t="shared" si="5"/>
        <v>ELE-PNL-001</v>
      </c>
      <c r="F169" t="s">
        <v>54</v>
      </c>
      <c r="G169" t="s">
        <v>46</v>
      </c>
      <c r="H169" t="str">
        <f>_xlfn.XLOOKUP(Table6[[#This Row],[Description]],[1]Class!$A$4:$A$660,[1]Class!$G$4:$G$660,"",0,1)</f>
        <v>CVO</v>
      </c>
      <c r="I169" s="2" t="s">
        <v>28</v>
      </c>
      <c r="J169" s="20" t="s">
        <v>215</v>
      </c>
      <c r="K169" s="22">
        <v>44700</v>
      </c>
      <c r="L169" s="20" t="s">
        <v>30</v>
      </c>
      <c r="M169" s="20" t="s">
        <v>31</v>
      </c>
      <c r="N169" s="23">
        <v>0.53</v>
      </c>
      <c r="O169" s="24">
        <f>TIMEVALUE([1]!Table1[[#This Row],[Malfunction end]])-TIMEVALUE([1]!Table1[[#This Row],[Start Malfn (T)]])</f>
        <v>8.3333333333333037E-3</v>
      </c>
      <c r="P169" s="22">
        <v>44700</v>
      </c>
      <c r="Q169" s="20" t="s">
        <v>711</v>
      </c>
      <c r="R169" s="22">
        <v>44700</v>
      </c>
      <c r="S169" s="20" t="s">
        <v>712</v>
      </c>
      <c r="T169" s="20" t="s">
        <v>34</v>
      </c>
      <c r="U169" s="20" t="s">
        <v>58</v>
      </c>
    </row>
    <row r="170" spans="1:21" x14ac:dyDescent="0.25">
      <c r="A170" s="19" t="s">
        <v>713</v>
      </c>
      <c r="B170" s="20" t="s">
        <v>590</v>
      </c>
      <c r="C170" s="20" t="s">
        <v>616</v>
      </c>
      <c r="D170" t="str">
        <f t="shared" si="4"/>
        <v>579-4600</v>
      </c>
      <c r="E170" t="str">
        <f t="shared" si="5"/>
        <v>ELE-PNL-001</v>
      </c>
      <c r="F170" t="s">
        <v>54</v>
      </c>
      <c r="G170" t="s">
        <v>46</v>
      </c>
      <c r="H170" t="str">
        <f>_xlfn.XLOOKUP(Table6[[#This Row],[Description]],[1]Class!$A$4:$A$660,[1]Class!$G$4:$G$660,"",0,1)</f>
        <v>CVO</v>
      </c>
      <c r="I170" s="2" t="s">
        <v>28</v>
      </c>
      <c r="J170" s="20" t="s">
        <v>47</v>
      </c>
      <c r="K170" s="22">
        <v>44658</v>
      </c>
      <c r="L170" s="20" t="s">
        <v>30</v>
      </c>
      <c r="M170" s="20" t="s">
        <v>31</v>
      </c>
      <c r="N170" s="23">
        <v>0.63</v>
      </c>
      <c r="O170" s="24">
        <f>TIMEVALUE([1]!Table1[[#This Row],[Malfunction end]])-TIMEVALUE([1]!Table1[[#This Row],[Start Malfn (T)]])</f>
        <v>2.3298611111111145E-2</v>
      </c>
      <c r="P170" s="22">
        <v>44658</v>
      </c>
      <c r="Q170" s="20" t="s">
        <v>714</v>
      </c>
      <c r="R170" s="22">
        <v>44658</v>
      </c>
      <c r="S170" s="20" t="s">
        <v>715</v>
      </c>
      <c r="T170" s="20" t="s">
        <v>34</v>
      </c>
      <c r="U170" s="20" t="s">
        <v>58</v>
      </c>
    </row>
    <row r="171" spans="1:21" x14ac:dyDescent="0.25">
      <c r="A171" s="19" t="s">
        <v>716</v>
      </c>
      <c r="B171" s="20" t="s">
        <v>497</v>
      </c>
      <c r="C171" s="20" t="s">
        <v>616</v>
      </c>
      <c r="D171" t="str">
        <f t="shared" si="4"/>
        <v>579-4600</v>
      </c>
      <c r="E171" t="str">
        <f t="shared" si="5"/>
        <v>ELE-PNL-001</v>
      </c>
      <c r="F171" t="s">
        <v>54</v>
      </c>
      <c r="G171" t="s">
        <v>46</v>
      </c>
      <c r="H171" t="str">
        <f>_xlfn.XLOOKUP(Table6[[#This Row],[Description]],[1]Class!$A$4:$A$660,[1]Class!$G$4:$G$660,"",0,1)</f>
        <v>CVO</v>
      </c>
      <c r="I171" s="4" t="s">
        <v>28</v>
      </c>
      <c r="J171" s="20" t="s">
        <v>47</v>
      </c>
      <c r="K171" s="22">
        <v>44584</v>
      </c>
      <c r="L171" s="20" t="s">
        <v>30</v>
      </c>
      <c r="M171" s="20" t="s">
        <v>31</v>
      </c>
      <c r="N171" s="23">
        <v>0.41</v>
      </c>
      <c r="O171" s="24">
        <f>TIMEVALUE([1]!Table1[[#This Row],[Malfunction end]])-TIMEVALUE([1]!Table1[[#This Row],[Start Malfn (T)]])</f>
        <v>4.166666666666663E-2</v>
      </c>
      <c r="P171" s="22">
        <v>44584</v>
      </c>
      <c r="Q171" s="20" t="s">
        <v>717</v>
      </c>
      <c r="R171" s="22">
        <v>44584</v>
      </c>
      <c r="S171" s="20" t="s">
        <v>718</v>
      </c>
      <c r="T171" s="20" t="s">
        <v>34</v>
      </c>
      <c r="U171" s="20" t="s">
        <v>58</v>
      </c>
    </row>
    <row r="172" spans="1:21" x14ac:dyDescent="0.25">
      <c r="A172" s="19" t="s">
        <v>719</v>
      </c>
      <c r="B172" s="20" t="s">
        <v>497</v>
      </c>
      <c r="C172" s="20" t="s">
        <v>616</v>
      </c>
      <c r="D172" t="str">
        <f t="shared" si="4"/>
        <v>579-4600</v>
      </c>
      <c r="E172" t="str">
        <f t="shared" si="5"/>
        <v>ELE-PNL-001</v>
      </c>
      <c r="F172" t="s">
        <v>54</v>
      </c>
      <c r="G172" t="s">
        <v>46</v>
      </c>
      <c r="H172" t="str">
        <f>_xlfn.XLOOKUP(Table6[[#This Row],[Description]],[1]Class!$A$4:$A$660,[1]Class!$G$4:$G$660,"",0,1)</f>
        <v>CVO</v>
      </c>
      <c r="I172" s="2" t="s">
        <v>28</v>
      </c>
      <c r="J172" s="20" t="s">
        <v>47</v>
      </c>
      <c r="K172" s="22">
        <v>44725</v>
      </c>
      <c r="L172" s="20" t="s">
        <v>30</v>
      </c>
      <c r="M172" s="20" t="s">
        <v>31</v>
      </c>
      <c r="N172" s="23">
        <v>0.48</v>
      </c>
      <c r="O172" s="24">
        <f>TIMEVALUE([1]!Table1[[#This Row],[Malfunction end]])-TIMEVALUE([1]!Table1[[#This Row],[Start Malfn (T)]])</f>
        <v>1.7361111111111105E-2</v>
      </c>
      <c r="P172" s="22">
        <v>44725</v>
      </c>
      <c r="Q172" s="20" t="s">
        <v>720</v>
      </c>
      <c r="R172" s="22">
        <v>44725</v>
      </c>
      <c r="S172" s="20" t="s">
        <v>721</v>
      </c>
      <c r="T172" s="20" t="s">
        <v>34</v>
      </c>
      <c r="U172" s="20" t="s">
        <v>58</v>
      </c>
    </row>
    <row r="173" spans="1:21" x14ac:dyDescent="0.25">
      <c r="A173" s="19" t="s">
        <v>722</v>
      </c>
      <c r="B173" s="20" t="s">
        <v>497</v>
      </c>
      <c r="C173" s="20" t="s">
        <v>616</v>
      </c>
      <c r="D173" t="str">
        <f t="shared" si="4"/>
        <v>579-4600</v>
      </c>
      <c r="E173" t="str">
        <f t="shared" si="5"/>
        <v>ELE-PNL-001</v>
      </c>
      <c r="F173" t="s">
        <v>54</v>
      </c>
      <c r="G173" t="s">
        <v>46</v>
      </c>
      <c r="H173" t="str">
        <f>_xlfn.XLOOKUP(Table6[[#This Row],[Description]],[1]Class!$A$4:$A$660,[1]Class!$G$4:$G$660,"",0,1)</f>
        <v>CVO</v>
      </c>
      <c r="I173" s="2" t="s">
        <v>28</v>
      </c>
      <c r="J173" s="20" t="s">
        <v>47</v>
      </c>
      <c r="K173" s="22">
        <v>44725</v>
      </c>
      <c r="L173" s="20" t="s">
        <v>30</v>
      </c>
      <c r="M173" s="20" t="s">
        <v>31</v>
      </c>
      <c r="N173" s="23">
        <v>0.33</v>
      </c>
      <c r="O173" s="24">
        <f>TIMEVALUE([1]!Table1[[#This Row],[Malfunction end]])-TIMEVALUE([1]!Table1[[#This Row],[Start Malfn (T)]])</f>
        <v>1.736111111111116E-2</v>
      </c>
      <c r="P173" s="22">
        <v>44725</v>
      </c>
      <c r="Q173" s="20" t="s">
        <v>723</v>
      </c>
      <c r="R173" s="22">
        <v>44725</v>
      </c>
      <c r="S173" s="20" t="s">
        <v>724</v>
      </c>
      <c r="T173" s="20" t="s">
        <v>34</v>
      </c>
      <c r="U173" s="20" t="s">
        <v>58</v>
      </c>
    </row>
    <row r="174" spans="1:21" x14ac:dyDescent="0.25">
      <c r="A174" s="19" t="s">
        <v>725</v>
      </c>
      <c r="B174" s="20" t="s">
        <v>620</v>
      </c>
      <c r="C174" s="20" t="s">
        <v>616</v>
      </c>
      <c r="D174" t="str">
        <f t="shared" si="4"/>
        <v>579-4600</v>
      </c>
      <c r="E174" t="str">
        <f t="shared" si="5"/>
        <v>ELE-PNL-001</v>
      </c>
      <c r="F174" t="s">
        <v>54</v>
      </c>
      <c r="G174" t="s">
        <v>46</v>
      </c>
      <c r="H174" t="str">
        <f>_xlfn.XLOOKUP(Table6[[#This Row],[Description]],[1]Class!$A$4:$A$660,[1]Class!$G$4:$G$660,"",0,1)</f>
        <v>CVO</v>
      </c>
      <c r="I174" s="4" t="s">
        <v>28</v>
      </c>
      <c r="J174" s="20" t="s">
        <v>29</v>
      </c>
      <c r="K174" s="22">
        <v>44262</v>
      </c>
      <c r="L174" s="20" t="s">
        <v>30</v>
      </c>
      <c r="M174" s="20" t="s">
        <v>31</v>
      </c>
      <c r="N174" s="23">
        <v>0.63</v>
      </c>
      <c r="O174" s="24">
        <f>TIMEVALUE([1]!Table1[[#This Row],[Malfunction end]])-TIMEVALUE([1]!Table1[[#This Row],[Start Malfn (T)]])</f>
        <v>3.935185185185186E-2</v>
      </c>
      <c r="P174" s="22">
        <v>44262</v>
      </c>
      <c r="Q174" s="20" t="s">
        <v>726</v>
      </c>
      <c r="R174" s="22">
        <v>44262</v>
      </c>
      <c r="S174" s="20" t="s">
        <v>727</v>
      </c>
      <c r="T174" s="20" t="s">
        <v>34</v>
      </c>
      <c r="U174" s="20" t="s">
        <v>58</v>
      </c>
    </row>
    <row r="175" spans="1:21" x14ac:dyDescent="0.25">
      <c r="A175" s="19" t="s">
        <v>728</v>
      </c>
      <c r="B175" s="20" t="s">
        <v>729</v>
      </c>
      <c r="C175" s="20" t="s">
        <v>616</v>
      </c>
      <c r="D175" t="str">
        <f t="shared" si="4"/>
        <v>579-4600</v>
      </c>
      <c r="E175" t="str">
        <f t="shared" si="5"/>
        <v>ELE-PNL-001</v>
      </c>
      <c r="F175" t="s">
        <v>54</v>
      </c>
      <c r="G175" t="s">
        <v>46</v>
      </c>
      <c r="H175" t="str">
        <f>_xlfn.XLOOKUP(Table6[[#This Row],[Description]],[1]Class!$A$4:$A$660,[1]Class!$G$4:$G$660,"",0,1)</f>
        <v>CVO</v>
      </c>
      <c r="I175" s="2" t="s">
        <v>28</v>
      </c>
      <c r="J175" s="20" t="s">
        <v>47</v>
      </c>
      <c r="K175" s="22">
        <v>44330</v>
      </c>
      <c r="L175" s="20" t="s">
        <v>30</v>
      </c>
      <c r="M175" s="20" t="s">
        <v>31</v>
      </c>
      <c r="N175" s="23">
        <v>0.61</v>
      </c>
      <c r="O175" s="24">
        <f>TIMEVALUE([1]!Table1[[#This Row],[Malfunction end]])-TIMEVALUE([1]!Table1[[#This Row],[Start Malfn (T)]])</f>
        <v>9.7222222222222432E-3</v>
      </c>
      <c r="P175" s="22">
        <v>44330</v>
      </c>
      <c r="Q175" s="20" t="s">
        <v>730</v>
      </c>
      <c r="R175" s="22">
        <v>44330</v>
      </c>
      <c r="S175" s="20" t="s">
        <v>731</v>
      </c>
      <c r="T175" s="20" t="s">
        <v>34</v>
      </c>
      <c r="U175" s="20" t="s">
        <v>58</v>
      </c>
    </row>
    <row r="176" spans="1:21" x14ac:dyDescent="0.25">
      <c r="A176" s="19" t="s">
        <v>732</v>
      </c>
      <c r="B176" s="20" t="s">
        <v>497</v>
      </c>
      <c r="C176" s="20" t="s">
        <v>616</v>
      </c>
      <c r="D176" t="str">
        <f t="shared" si="4"/>
        <v>579-4600</v>
      </c>
      <c r="E176" t="str">
        <f t="shared" si="5"/>
        <v>ELE-PNL-001</v>
      </c>
      <c r="F176" t="s">
        <v>54</v>
      </c>
      <c r="G176" t="s">
        <v>46</v>
      </c>
      <c r="H176" t="str">
        <f>_xlfn.XLOOKUP(Table6[[#This Row],[Description]],[1]Class!$A$4:$A$660,[1]Class!$G$4:$G$660,"",0,1)</f>
        <v>CVO</v>
      </c>
      <c r="I176" s="2" t="s">
        <v>28</v>
      </c>
      <c r="J176" s="20" t="s">
        <v>55</v>
      </c>
      <c r="K176" s="22">
        <v>44724</v>
      </c>
      <c r="L176" s="20" t="s">
        <v>30</v>
      </c>
      <c r="M176" s="20" t="s">
        <v>31</v>
      </c>
      <c r="N176" s="23">
        <v>0.14000000000000001</v>
      </c>
      <c r="O176" s="24">
        <f>TIMEVALUE([1]!Table1[[#This Row],[Malfunction end]])-TIMEVALUE([1]!Table1[[#This Row],[Start Malfn (T)]])</f>
        <v>1.7361111111111105E-2</v>
      </c>
      <c r="P176" s="22">
        <v>44724</v>
      </c>
      <c r="Q176" s="20" t="s">
        <v>733</v>
      </c>
      <c r="R176" s="22">
        <v>44724</v>
      </c>
      <c r="S176" s="20" t="s">
        <v>734</v>
      </c>
      <c r="T176" s="20" t="s">
        <v>34</v>
      </c>
      <c r="U176" s="20" t="s">
        <v>58</v>
      </c>
    </row>
    <row r="177" spans="1:21" x14ac:dyDescent="0.25">
      <c r="A177" s="19" t="s">
        <v>735</v>
      </c>
      <c r="B177" s="20" t="s">
        <v>206</v>
      </c>
      <c r="C177" s="20" t="s">
        <v>616</v>
      </c>
      <c r="D177" t="str">
        <f t="shared" si="4"/>
        <v>579-4600</v>
      </c>
      <c r="E177" t="str">
        <f t="shared" si="5"/>
        <v>ELE-PNL-001</v>
      </c>
      <c r="F177" t="s">
        <v>54</v>
      </c>
      <c r="G177" t="s">
        <v>46</v>
      </c>
      <c r="H177" t="str">
        <f>_xlfn.XLOOKUP(Table6[[#This Row],[Description]],[1]Class!$A$4:$A$660,[1]Class!$G$4:$G$660,"",0,1)</f>
        <v>CVO</v>
      </c>
      <c r="I177" s="4" t="s">
        <v>28</v>
      </c>
      <c r="J177" s="20" t="s">
        <v>29</v>
      </c>
      <c r="K177" s="22">
        <v>44558</v>
      </c>
      <c r="L177" s="20" t="s">
        <v>30</v>
      </c>
      <c r="M177" s="20" t="s">
        <v>31</v>
      </c>
      <c r="N177" s="23">
        <v>0.31</v>
      </c>
      <c r="O177" s="24">
        <f>TIMEVALUE([1]!Table1[[#This Row],[Malfunction end]])-TIMEVALUE([1]!Table1[[#This Row],[Start Malfn (T)]])</f>
        <v>2.6817129629629621E-2</v>
      </c>
      <c r="P177" s="22">
        <v>44558</v>
      </c>
      <c r="Q177" s="20" t="s">
        <v>736</v>
      </c>
      <c r="R177" s="22">
        <v>44558</v>
      </c>
      <c r="S177" s="20" t="s">
        <v>737</v>
      </c>
      <c r="T177" s="20" t="s">
        <v>34</v>
      </c>
      <c r="U177" s="20" t="s">
        <v>58</v>
      </c>
    </row>
    <row r="178" spans="1:21" x14ac:dyDescent="0.25">
      <c r="A178" s="19" t="s">
        <v>738</v>
      </c>
      <c r="B178" s="20" t="s">
        <v>206</v>
      </c>
      <c r="C178" s="20" t="s">
        <v>616</v>
      </c>
      <c r="D178" t="str">
        <f t="shared" si="4"/>
        <v>579-4600</v>
      </c>
      <c r="E178" t="str">
        <f t="shared" si="5"/>
        <v>ELE-PNL-001</v>
      </c>
      <c r="F178" t="s">
        <v>54</v>
      </c>
      <c r="G178" t="s">
        <v>46</v>
      </c>
      <c r="H178" t="str">
        <f>_xlfn.XLOOKUP(Table6[[#This Row],[Description]],[1]Class!$A$4:$A$660,[1]Class!$G$4:$G$660,"",0,1)</f>
        <v>CVO</v>
      </c>
      <c r="I178" s="2" t="s">
        <v>28</v>
      </c>
      <c r="J178" s="20" t="s">
        <v>29</v>
      </c>
      <c r="K178" s="22">
        <v>45406</v>
      </c>
      <c r="L178" s="20" t="s">
        <v>30</v>
      </c>
      <c r="M178" s="20" t="s">
        <v>31</v>
      </c>
      <c r="N178" s="23">
        <v>0.51</v>
      </c>
      <c r="O178" s="24">
        <f>TIMEVALUE([1]!Table1[[#This Row],[Malfunction end]])-TIMEVALUE([1]!Table1[[#This Row],[Start Malfn (T)]])</f>
        <v>1.8773148148148122E-2</v>
      </c>
      <c r="P178" s="22">
        <v>45405</v>
      </c>
      <c r="Q178" s="20" t="s">
        <v>739</v>
      </c>
      <c r="R178" s="22">
        <v>45405</v>
      </c>
      <c r="S178" s="20" t="s">
        <v>740</v>
      </c>
      <c r="T178" s="20" t="s">
        <v>34</v>
      </c>
      <c r="U178" s="20" t="s">
        <v>58</v>
      </c>
    </row>
    <row r="179" spans="1:21" x14ac:dyDescent="0.25">
      <c r="A179" s="19" t="s">
        <v>741</v>
      </c>
      <c r="B179" s="20" t="s">
        <v>206</v>
      </c>
      <c r="C179" s="20" t="s">
        <v>616</v>
      </c>
      <c r="D179" t="str">
        <f t="shared" si="4"/>
        <v>579-4600</v>
      </c>
      <c r="E179" t="str">
        <f t="shared" si="5"/>
        <v>ELE-PNL-001</v>
      </c>
      <c r="F179" t="s">
        <v>54</v>
      </c>
      <c r="G179" t="s">
        <v>46</v>
      </c>
      <c r="H179" t="str">
        <f>_xlfn.XLOOKUP(Table6[[#This Row],[Description]],[1]Class!$A$4:$A$660,[1]Class!$G$4:$G$660,"",0,1)</f>
        <v>CVO</v>
      </c>
      <c r="I179" s="2" t="s">
        <v>28</v>
      </c>
      <c r="J179" s="20" t="s">
        <v>29</v>
      </c>
      <c r="K179" s="22">
        <v>44538</v>
      </c>
      <c r="L179" s="20" t="s">
        <v>30</v>
      </c>
      <c r="M179" s="20" t="s">
        <v>31</v>
      </c>
      <c r="N179" s="23">
        <v>0.26</v>
      </c>
      <c r="O179" s="24">
        <f>TIMEVALUE([1]!Table1[[#This Row],[Malfunction end]])-TIMEVALUE([1]!Table1[[#This Row],[Start Malfn (T)]])</f>
        <v>2.0833333333333259E-2</v>
      </c>
      <c r="P179" s="22">
        <v>44537</v>
      </c>
      <c r="Q179" s="20" t="s">
        <v>742</v>
      </c>
      <c r="R179" s="22">
        <v>44537</v>
      </c>
      <c r="S179" s="20" t="s">
        <v>743</v>
      </c>
      <c r="T179" s="20" t="s">
        <v>34</v>
      </c>
      <c r="U179" s="20" t="s">
        <v>58</v>
      </c>
    </row>
    <row r="180" spans="1:21" x14ac:dyDescent="0.25">
      <c r="A180" s="19" t="s">
        <v>744</v>
      </c>
      <c r="B180" s="20" t="s">
        <v>620</v>
      </c>
      <c r="C180" s="20" t="s">
        <v>616</v>
      </c>
      <c r="D180" t="str">
        <f t="shared" si="4"/>
        <v>579-4600</v>
      </c>
      <c r="E180" t="str">
        <f t="shared" si="5"/>
        <v>ELE-PNL-001</v>
      </c>
      <c r="F180" t="s">
        <v>54</v>
      </c>
      <c r="G180" t="s">
        <v>46</v>
      </c>
      <c r="H180" t="str">
        <f>_xlfn.XLOOKUP(Table6[[#This Row],[Description]],[1]Class!$A$4:$A$660,[1]Class!$G$4:$G$660,"",0,1)</f>
        <v>CVO</v>
      </c>
      <c r="I180" s="4" t="s">
        <v>28</v>
      </c>
      <c r="J180" s="20" t="s">
        <v>29</v>
      </c>
      <c r="K180" s="22">
        <v>44671</v>
      </c>
      <c r="L180" s="20" t="s">
        <v>30</v>
      </c>
      <c r="M180" s="20" t="s">
        <v>31</v>
      </c>
      <c r="N180" s="23">
        <v>0.32</v>
      </c>
      <c r="O180" s="24">
        <f>TIMEVALUE([1]!Table1[[#This Row],[Malfunction end]])-TIMEVALUE([1]!Table1[[#This Row],[Start Malfn (T)]])</f>
        <v>1.1828703703703702E-2</v>
      </c>
      <c r="P180" s="22">
        <v>44671</v>
      </c>
      <c r="Q180" s="20" t="s">
        <v>745</v>
      </c>
      <c r="R180" s="22">
        <v>44671</v>
      </c>
      <c r="S180" s="20" t="s">
        <v>746</v>
      </c>
      <c r="T180" s="20" t="s">
        <v>34</v>
      </c>
      <c r="U180" s="20" t="s">
        <v>58</v>
      </c>
    </row>
    <row r="181" spans="1:21" x14ac:dyDescent="0.25">
      <c r="A181" s="19" t="s">
        <v>747</v>
      </c>
      <c r="B181" s="20" t="s">
        <v>748</v>
      </c>
      <c r="C181" s="20" t="s">
        <v>616</v>
      </c>
      <c r="D181" t="str">
        <f t="shared" si="4"/>
        <v>579-4600</v>
      </c>
      <c r="E181" t="str">
        <f t="shared" si="5"/>
        <v>ELE-PNL-001</v>
      </c>
      <c r="F181" t="s">
        <v>54</v>
      </c>
      <c r="G181" t="s">
        <v>46</v>
      </c>
      <c r="H181" t="str">
        <f>_xlfn.XLOOKUP(Table6[[#This Row],[Description]],[1]Class!$A$4:$A$660,[1]Class!$G$4:$G$660,"",0,1)</f>
        <v>Tear</v>
      </c>
      <c r="I181" s="2" t="s">
        <v>28</v>
      </c>
      <c r="J181" s="20" t="s">
        <v>215</v>
      </c>
      <c r="K181" s="22">
        <v>45088</v>
      </c>
      <c r="L181" s="20" t="s">
        <v>30</v>
      </c>
      <c r="M181" s="20" t="s">
        <v>31</v>
      </c>
      <c r="N181" s="23">
        <v>2.82</v>
      </c>
      <c r="O181" s="24">
        <f>TIMEVALUE([1]!Table1[[#This Row],[Malfunction end]])-TIMEVALUE([1]!Table1[[#This Row],[Start Malfn (T)]])</f>
        <v>2.0833333333333259E-2</v>
      </c>
      <c r="P181" s="22">
        <v>45088</v>
      </c>
      <c r="Q181" s="20" t="s">
        <v>749</v>
      </c>
      <c r="R181" s="22">
        <v>45088</v>
      </c>
      <c r="S181" s="20" t="s">
        <v>750</v>
      </c>
      <c r="T181" s="20" t="s">
        <v>34</v>
      </c>
      <c r="U181" s="20" t="s">
        <v>58</v>
      </c>
    </row>
    <row r="182" spans="1:21" x14ac:dyDescent="0.25">
      <c r="A182" s="19" t="s">
        <v>751</v>
      </c>
      <c r="B182" s="20" t="s">
        <v>748</v>
      </c>
      <c r="C182" s="20" t="s">
        <v>616</v>
      </c>
      <c r="D182" t="str">
        <f t="shared" si="4"/>
        <v>579-4600</v>
      </c>
      <c r="E182" t="str">
        <f t="shared" si="5"/>
        <v>ELE-PNL-001</v>
      </c>
      <c r="F182" t="s">
        <v>54</v>
      </c>
      <c r="G182" t="s">
        <v>46</v>
      </c>
      <c r="H182" t="str">
        <f>_xlfn.XLOOKUP(Table6[[#This Row],[Description]],[1]Class!$A$4:$A$660,[1]Class!$G$4:$G$660,"",0,1)</f>
        <v>Tear</v>
      </c>
      <c r="I182" s="2" t="s">
        <v>28</v>
      </c>
      <c r="J182" s="20" t="s">
        <v>215</v>
      </c>
      <c r="K182" s="22">
        <v>45087</v>
      </c>
      <c r="L182" s="20" t="s">
        <v>30</v>
      </c>
      <c r="M182" s="20" t="s">
        <v>31</v>
      </c>
      <c r="N182" s="23">
        <v>0.96</v>
      </c>
      <c r="O182" s="24">
        <f>TIMEVALUE([1]!Table1[[#This Row],[Malfunction end]])-TIMEVALUE([1]!Table1[[#This Row],[Start Malfn (T)]])</f>
        <v>1.7094907407407378E-2</v>
      </c>
      <c r="P182" s="22">
        <v>45087</v>
      </c>
      <c r="Q182" s="20" t="s">
        <v>752</v>
      </c>
      <c r="R182" s="22">
        <v>45087</v>
      </c>
      <c r="S182" s="20" t="s">
        <v>753</v>
      </c>
      <c r="T182" s="20" t="s">
        <v>34</v>
      </c>
      <c r="U182" s="20" t="s">
        <v>58</v>
      </c>
    </row>
    <row r="183" spans="1:21" x14ac:dyDescent="0.25">
      <c r="A183" s="19" t="s">
        <v>754</v>
      </c>
      <c r="B183" s="20" t="s">
        <v>497</v>
      </c>
      <c r="C183" s="20" t="s">
        <v>616</v>
      </c>
      <c r="D183" t="str">
        <f t="shared" si="4"/>
        <v>579-4600</v>
      </c>
      <c r="E183" t="str">
        <f t="shared" si="5"/>
        <v>ELE-PNL-001</v>
      </c>
      <c r="F183" t="s">
        <v>54</v>
      </c>
      <c r="G183" t="s">
        <v>46</v>
      </c>
      <c r="H183" t="str">
        <f>_xlfn.XLOOKUP(Table6[[#This Row],[Description]],[1]Class!$A$4:$A$660,[1]Class!$G$4:$G$660,"",0,1)</f>
        <v>CVO</v>
      </c>
      <c r="I183" s="4" t="s">
        <v>28</v>
      </c>
      <c r="J183" s="20" t="s">
        <v>55</v>
      </c>
      <c r="K183" s="22">
        <v>44722</v>
      </c>
      <c r="L183" s="20" t="s">
        <v>30</v>
      </c>
      <c r="M183" s="20" t="s">
        <v>31</v>
      </c>
      <c r="N183" s="23">
        <v>0.23</v>
      </c>
      <c r="O183" s="24">
        <f>TIMEVALUE([1]!Table1[[#This Row],[Malfunction end]])-TIMEVALUE([1]!Table1[[#This Row],[Start Malfn (T)]])</f>
        <v>2.0833333333333329E-2</v>
      </c>
      <c r="P183" s="22">
        <v>44722</v>
      </c>
      <c r="Q183" s="20" t="s">
        <v>755</v>
      </c>
      <c r="R183" s="22">
        <v>44722</v>
      </c>
      <c r="S183" s="20" t="s">
        <v>756</v>
      </c>
      <c r="T183" s="20" t="s">
        <v>34</v>
      </c>
      <c r="U183" s="20" t="s">
        <v>58</v>
      </c>
    </row>
    <row r="184" spans="1:21" x14ac:dyDescent="0.25">
      <c r="A184" s="19" t="s">
        <v>757</v>
      </c>
      <c r="B184" s="20" t="s">
        <v>590</v>
      </c>
      <c r="C184" s="20" t="s">
        <v>616</v>
      </c>
      <c r="D184" t="str">
        <f t="shared" si="4"/>
        <v>579-4600</v>
      </c>
      <c r="E184" t="str">
        <f t="shared" si="5"/>
        <v>ELE-PNL-001</v>
      </c>
      <c r="F184" t="s">
        <v>54</v>
      </c>
      <c r="G184" t="s">
        <v>46</v>
      </c>
      <c r="H184" t="str">
        <f>_xlfn.XLOOKUP(Table6[[#This Row],[Description]],[1]Class!$A$4:$A$660,[1]Class!$G$4:$G$660,"",0,1)</f>
        <v>CVO</v>
      </c>
      <c r="I184" s="2" t="s">
        <v>28</v>
      </c>
      <c r="J184" s="20" t="s">
        <v>47</v>
      </c>
      <c r="K184" s="22">
        <v>44667</v>
      </c>
      <c r="L184" s="20" t="s">
        <v>30</v>
      </c>
      <c r="M184" s="20" t="s">
        <v>31</v>
      </c>
      <c r="N184" s="23">
        <v>0.91</v>
      </c>
      <c r="O184" s="24">
        <f>TIMEVALUE([1]!Table1[[#This Row],[Malfunction end]])-TIMEVALUE([1]!Table1[[#This Row],[Start Malfn (T)]])</f>
        <v>1.4502314814814787E-2</v>
      </c>
      <c r="P184" s="22">
        <v>44667</v>
      </c>
      <c r="Q184" s="20" t="s">
        <v>758</v>
      </c>
      <c r="R184" s="22">
        <v>44667</v>
      </c>
      <c r="S184" s="20" t="s">
        <v>759</v>
      </c>
      <c r="T184" s="20" t="s">
        <v>34</v>
      </c>
      <c r="U184" s="20" t="s">
        <v>58</v>
      </c>
    </row>
    <row r="185" spans="1:21" x14ac:dyDescent="0.25">
      <c r="A185" s="19" t="s">
        <v>760</v>
      </c>
      <c r="B185" s="20" t="s">
        <v>666</v>
      </c>
      <c r="C185" s="20" t="s">
        <v>761</v>
      </c>
      <c r="D185" t="str">
        <f t="shared" si="4"/>
        <v>579-4600</v>
      </c>
      <c r="E185" t="str">
        <f t="shared" si="5"/>
        <v>ELE-PNL-002</v>
      </c>
      <c r="F185" t="s">
        <v>54</v>
      </c>
      <c r="G185" t="s">
        <v>46</v>
      </c>
      <c r="H185" t="str">
        <f>_xlfn.XLOOKUP(Table6[[#This Row],[Description]],[1]Class!$A$4:$A$660,[1]Class!$G$4:$G$660,"",0,1)</f>
        <v>CVO</v>
      </c>
      <c r="I185" s="2" t="s">
        <v>28</v>
      </c>
      <c r="J185" s="20" t="s">
        <v>102</v>
      </c>
      <c r="K185" s="22">
        <v>44729</v>
      </c>
      <c r="L185" s="20" t="s">
        <v>30</v>
      </c>
      <c r="M185" s="20" t="s">
        <v>31</v>
      </c>
      <c r="N185" s="23">
        <v>0.5</v>
      </c>
      <c r="O185" s="24">
        <f>TIMEVALUE([1]!Table1[[#This Row],[Malfunction end]])-TIMEVALUE([1]!Table1[[#This Row],[Start Malfn (T)]])</f>
        <v>9.7222222222221877E-3</v>
      </c>
      <c r="P185" s="22">
        <v>44729</v>
      </c>
      <c r="Q185" s="20" t="s">
        <v>762</v>
      </c>
      <c r="R185" s="22">
        <v>44729</v>
      </c>
      <c r="S185" s="20" t="s">
        <v>763</v>
      </c>
      <c r="T185" s="20" t="s">
        <v>34</v>
      </c>
      <c r="U185" s="20" t="s">
        <v>58</v>
      </c>
    </row>
    <row r="186" spans="1:21" x14ac:dyDescent="0.25">
      <c r="A186" s="19" t="s">
        <v>764</v>
      </c>
      <c r="B186" s="20" t="s">
        <v>666</v>
      </c>
      <c r="C186" s="20" t="s">
        <v>761</v>
      </c>
      <c r="D186" t="str">
        <f t="shared" si="4"/>
        <v>579-4600</v>
      </c>
      <c r="E186" t="str">
        <f t="shared" si="5"/>
        <v>ELE-PNL-002</v>
      </c>
      <c r="F186" t="s">
        <v>54</v>
      </c>
      <c r="G186" t="s">
        <v>46</v>
      </c>
      <c r="H186" t="str">
        <f>_xlfn.XLOOKUP(Table6[[#This Row],[Description]],[1]Class!$A$4:$A$660,[1]Class!$G$4:$G$660,"",0,1)</f>
        <v>CVO</v>
      </c>
      <c r="I186" s="4" t="s">
        <v>28</v>
      </c>
      <c r="J186" s="20" t="s">
        <v>102</v>
      </c>
      <c r="K186" s="22">
        <v>44729</v>
      </c>
      <c r="L186" s="20" t="s">
        <v>30</v>
      </c>
      <c r="M186" s="20" t="s">
        <v>31</v>
      </c>
      <c r="N186" s="23">
        <v>0.55000000000000004</v>
      </c>
      <c r="O186" s="24">
        <f>TIMEVALUE([1]!Table1[[#This Row],[Malfunction end]])-TIMEVALUE([1]!Table1[[#This Row],[Start Malfn (T)]])</f>
        <v>6.770833333333337E-3</v>
      </c>
      <c r="P186" s="22">
        <v>44729</v>
      </c>
      <c r="Q186" s="20" t="s">
        <v>765</v>
      </c>
      <c r="R186" s="22">
        <v>44729</v>
      </c>
      <c r="S186" s="20" t="s">
        <v>766</v>
      </c>
      <c r="T186" s="20" t="s">
        <v>34</v>
      </c>
      <c r="U186" s="20" t="s">
        <v>58</v>
      </c>
    </row>
    <row r="187" spans="1:21" x14ac:dyDescent="0.25">
      <c r="A187" s="19" t="s">
        <v>767</v>
      </c>
      <c r="B187" s="20" t="s">
        <v>683</v>
      </c>
      <c r="C187" s="20" t="s">
        <v>761</v>
      </c>
      <c r="D187" t="str">
        <f t="shared" si="4"/>
        <v>579-4600</v>
      </c>
      <c r="E187" t="str">
        <f t="shared" si="5"/>
        <v>ELE-PNL-002</v>
      </c>
      <c r="F187" t="s">
        <v>54</v>
      </c>
      <c r="G187" t="s">
        <v>46</v>
      </c>
      <c r="H187" t="str">
        <f>_xlfn.XLOOKUP(Table6[[#This Row],[Description]],[1]Class!$A$4:$A$660,[1]Class!$G$4:$G$660,"",0,1)</f>
        <v>CVO</v>
      </c>
      <c r="I187" s="2" t="s">
        <v>28</v>
      </c>
      <c r="J187" s="20" t="s">
        <v>102</v>
      </c>
      <c r="K187" s="22">
        <v>44511</v>
      </c>
      <c r="L187" s="20" t="s">
        <v>30</v>
      </c>
      <c r="M187" s="20" t="s">
        <v>31</v>
      </c>
      <c r="N187" s="23">
        <v>0.5</v>
      </c>
      <c r="O187" s="24">
        <f>TIMEVALUE([1]!Table1[[#This Row],[Malfunction end]])-TIMEVALUE([1]!Table1[[#This Row],[Start Malfn (T)]])</f>
        <v>2.5694444444444464E-2</v>
      </c>
      <c r="P187" s="22">
        <v>44511</v>
      </c>
      <c r="Q187" s="20" t="s">
        <v>768</v>
      </c>
      <c r="R187" s="22">
        <v>44511</v>
      </c>
      <c r="S187" s="20" t="s">
        <v>769</v>
      </c>
      <c r="T187" s="20" t="s">
        <v>34</v>
      </c>
      <c r="U187" s="20" t="s">
        <v>58</v>
      </c>
    </row>
    <row r="188" spans="1:21" x14ac:dyDescent="0.25">
      <c r="A188" s="19" t="s">
        <v>770</v>
      </c>
      <c r="B188" s="20" t="s">
        <v>771</v>
      </c>
      <c r="C188" s="20" t="s">
        <v>761</v>
      </c>
      <c r="D188" t="str">
        <f t="shared" si="4"/>
        <v>579-4600</v>
      </c>
      <c r="E188" t="str">
        <f t="shared" si="5"/>
        <v>ELE-PNL-002</v>
      </c>
      <c r="F188" t="s">
        <v>54</v>
      </c>
      <c r="G188" t="s">
        <v>46</v>
      </c>
      <c r="H188" t="str">
        <f>_xlfn.XLOOKUP(Table6[[#This Row],[Description]],[1]Class!$A$4:$A$660,[1]Class!$G$4:$G$660,"",0,1)</f>
        <v>CVO</v>
      </c>
      <c r="I188" s="2" t="s">
        <v>28</v>
      </c>
      <c r="J188" s="20" t="s">
        <v>47</v>
      </c>
      <c r="K188" s="22">
        <v>44272</v>
      </c>
      <c r="L188" s="20" t="s">
        <v>30</v>
      </c>
      <c r="M188" s="20" t="s">
        <v>31</v>
      </c>
      <c r="N188" s="23">
        <v>0.48</v>
      </c>
      <c r="O188" s="24">
        <f>TIMEVALUE([1]!Table1[[#This Row],[Malfunction end]])-TIMEVALUE([1]!Table1[[#This Row],[Start Malfn (T)]])</f>
        <v>8.3333333333333037E-3</v>
      </c>
      <c r="P188" s="22">
        <v>44272</v>
      </c>
      <c r="Q188" s="20" t="s">
        <v>772</v>
      </c>
      <c r="R188" s="22">
        <v>44272</v>
      </c>
      <c r="S188" s="20" t="s">
        <v>773</v>
      </c>
      <c r="T188" s="20" t="s">
        <v>34</v>
      </c>
      <c r="U188" s="20" t="s">
        <v>58</v>
      </c>
    </row>
    <row r="189" spans="1:21" x14ac:dyDescent="0.25">
      <c r="A189" s="19" t="s">
        <v>774</v>
      </c>
      <c r="B189" s="20" t="s">
        <v>497</v>
      </c>
      <c r="C189" s="20" t="s">
        <v>761</v>
      </c>
      <c r="D189" t="str">
        <f t="shared" si="4"/>
        <v>579-4600</v>
      </c>
      <c r="E189" t="str">
        <f t="shared" si="5"/>
        <v>ELE-PNL-002</v>
      </c>
      <c r="F189" t="s">
        <v>54</v>
      </c>
      <c r="G189" t="s">
        <v>46</v>
      </c>
      <c r="H189" t="str">
        <f>_xlfn.XLOOKUP(Table6[[#This Row],[Description]],[1]Class!$A$4:$A$660,[1]Class!$G$4:$G$660,"",0,1)</f>
        <v>CVO</v>
      </c>
      <c r="I189" s="4" t="s">
        <v>28</v>
      </c>
      <c r="J189" s="20" t="s">
        <v>47</v>
      </c>
      <c r="K189" s="22">
        <v>44419</v>
      </c>
      <c r="L189" s="20" t="s">
        <v>30</v>
      </c>
      <c r="M189" s="20" t="s">
        <v>31</v>
      </c>
      <c r="N189" s="23">
        <v>0.95</v>
      </c>
      <c r="O189" s="24">
        <f>TIMEVALUE([1]!Table1[[#This Row],[Malfunction end]])-TIMEVALUE([1]!Table1[[#This Row],[Start Malfn (T)]])</f>
        <v>1.3449074074074086E-2</v>
      </c>
      <c r="P189" s="22">
        <v>44419</v>
      </c>
      <c r="Q189" s="20" t="s">
        <v>775</v>
      </c>
      <c r="R189" s="22">
        <v>44419</v>
      </c>
      <c r="S189" s="20" t="s">
        <v>776</v>
      </c>
      <c r="T189" s="20" t="s">
        <v>34</v>
      </c>
      <c r="U189" s="20" t="s">
        <v>58</v>
      </c>
    </row>
    <row r="190" spans="1:21" x14ac:dyDescent="0.25">
      <c r="A190" s="19" t="s">
        <v>777</v>
      </c>
      <c r="B190" s="20" t="s">
        <v>666</v>
      </c>
      <c r="C190" s="20" t="s">
        <v>761</v>
      </c>
      <c r="D190" t="str">
        <f t="shared" si="4"/>
        <v>579-4600</v>
      </c>
      <c r="E190" t="str">
        <f t="shared" si="5"/>
        <v>ELE-PNL-002</v>
      </c>
      <c r="F190" t="s">
        <v>54</v>
      </c>
      <c r="G190" t="s">
        <v>46</v>
      </c>
      <c r="H190" t="str">
        <f>_xlfn.XLOOKUP(Table6[[#This Row],[Description]],[1]Class!$A$4:$A$660,[1]Class!$G$4:$G$660,"",0,1)</f>
        <v>CVO</v>
      </c>
      <c r="I190" s="2" t="s">
        <v>28</v>
      </c>
      <c r="J190" s="20" t="s">
        <v>102</v>
      </c>
      <c r="K190" s="22">
        <v>44718</v>
      </c>
      <c r="L190" s="20" t="s">
        <v>30</v>
      </c>
      <c r="M190" s="20" t="s">
        <v>31</v>
      </c>
      <c r="N190" s="23">
        <v>0.5</v>
      </c>
      <c r="O190" s="24">
        <f>TIMEVALUE([1]!Table1[[#This Row],[Malfunction end]])-TIMEVALUE([1]!Table1[[#This Row],[Start Malfn (T)]])</f>
        <v>2.3773148148148127E-2</v>
      </c>
      <c r="P190" s="22">
        <v>44717</v>
      </c>
      <c r="Q190" s="20" t="s">
        <v>778</v>
      </c>
      <c r="R190" s="22">
        <v>44718</v>
      </c>
      <c r="S190" s="20" t="s">
        <v>779</v>
      </c>
      <c r="T190" s="20" t="s">
        <v>34</v>
      </c>
      <c r="U190" s="20" t="s">
        <v>58</v>
      </c>
    </row>
    <row r="191" spans="1:21" x14ac:dyDescent="0.25">
      <c r="A191" s="19" t="s">
        <v>780</v>
      </c>
      <c r="B191" s="20" t="s">
        <v>666</v>
      </c>
      <c r="C191" s="20" t="s">
        <v>761</v>
      </c>
      <c r="D191" t="str">
        <f t="shared" si="4"/>
        <v>579-4600</v>
      </c>
      <c r="E191" t="str">
        <f t="shared" si="5"/>
        <v>ELE-PNL-002</v>
      </c>
      <c r="F191" t="s">
        <v>54</v>
      </c>
      <c r="G191" t="s">
        <v>46</v>
      </c>
      <c r="H191" t="str">
        <f>_xlfn.XLOOKUP(Table6[[#This Row],[Description]],[1]Class!$A$4:$A$660,[1]Class!$G$4:$G$660,"",0,1)</f>
        <v>CVO</v>
      </c>
      <c r="I191" s="2" t="s">
        <v>28</v>
      </c>
      <c r="J191" s="20" t="s">
        <v>102</v>
      </c>
      <c r="K191" s="22">
        <v>44718</v>
      </c>
      <c r="L191" s="20" t="s">
        <v>30</v>
      </c>
      <c r="M191" s="20" t="s">
        <v>31</v>
      </c>
      <c r="N191" s="23">
        <v>0.5</v>
      </c>
      <c r="O191" s="24">
        <f>TIMEVALUE([1]!Table1[[#This Row],[Malfunction end]])-TIMEVALUE([1]!Table1[[#This Row],[Start Malfn (T)]])</f>
        <v>9.0277777777778012E-3</v>
      </c>
      <c r="P191" s="22">
        <v>44718</v>
      </c>
      <c r="Q191" s="20" t="s">
        <v>781</v>
      </c>
      <c r="R191" s="22">
        <v>44718</v>
      </c>
      <c r="S191" s="20" t="s">
        <v>782</v>
      </c>
      <c r="T191" s="20" t="s">
        <v>34</v>
      </c>
      <c r="U191" s="20" t="s">
        <v>58</v>
      </c>
    </row>
    <row r="192" spans="1:21" x14ac:dyDescent="0.25">
      <c r="A192" s="19" t="s">
        <v>783</v>
      </c>
      <c r="B192" s="20" t="s">
        <v>649</v>
      </c>
      <c r="C192" s="20" t="s">
        <v>761</v>
      </c>
      <c r="D192" t="str">
        <f t="shared" si="4"/>
        <v>579-4600</v>
      </c>
      <c r="E192" t="str">
        <f t="shared" si="5"/>
        <v>ELE-PNL-002</v>
      </c>
      <c r="F192" t="s">
        <v>54</v>
      </c>
      <c r="G192" t="s">
        <v>46</v>
      </c>
      <c r="H192" t="str">
        <f>_xlfn.XLOOKUP(Table6[[#This Row],[Description]],[1]Class!$A$4:$A$660,[1]Class!$G$4:$G$660,"",0,1)</f>
        <v>CVO</v>
      </c>
      <c r="I192" s="4" t="s">
        <v>28</v>
      </c>
      <c r="J192" s="20" t="s">
        <v>215</v>
      </c>
      <c r="K192" s="22">
        <v>44694</v>
      </c>
      <c r="L192" s="20" t="s">
        <v>30</v>
      </c>
      <c r="M192" s="20" t="s">
        <v>31</v>
      </c>
      <c r="N192" s="23">
        <v>0.52</v>
      </c>
      <c r="O192" s="24">
        <f>TIMEVALUE([1]!Table1[[#This Row],[Malfunction end]])-TIMEVALUE([1]!Table1[[#This Row],[Start Malfn (T)]])</f>
        <v>2.0833333333333259E-2</v>
      </c>
      <c r="P192" s="22">
        <v>44694</v>
      </c>
      <c r="Q192" s="20" t="s">
        <v>784</v>
      </c>
      <c r="R192" s="22">
        <v>44694</v>
      </c>
      <c r="S192" s="20" t="s">
        <v>785</v>
      </c>
      <c r="T192" s="20" t="s">
        <v>34</v>
      </c>
      <c r="U192" s="20" t="s">
        <v>58</v>
      </c>
    </row>
    <row r="193" spans="1:21" x14ac:dyDescent="0.25">
      <c r="A193" s="19" t="s">
        <v>786</v>
      </c>
      <c r="B193" s="20" t="s">
        <v>666</v>
      </c>
      <c r="C193" s="20" t="s">
        <v>761</v>
      </c>
      <c r="D193" t="str">
        <f t="shared" si="4"/>
        <v>579-4600</v>
      </c>
      <c r="E193" t="str">
        <f t="shared" si="5"/>
        <v>ELE-PNL-002</v>
      </c>
      <c r="F193" t="s">
        <v>54</v>
      </c>
      <c r="G193" t="s">
        <v>46</v>
      </c>
      <c r="H193" t="str">
        <f>_xlfn.XLOOKUP(Table6[[#This Row],[Description]],[1]Class!$A$4:$A$660,[1]Class!$G$4:$G$660,"",0,1)</f>
        <v>CVO</v>
      </c>
      <c r="I193" s="2" t="s">
        <v>28</v>
      </c>
      <c r="J193" s="20" t="s">
        <v>102</v>
      </c>
      <c r="K193" s="22">
        <v>44680</v>
      </c>
      <c r="L193" s="20" t="s">
        <v>30</v>
      </c>
      <c r="M193" s="20" t="s">
        <v>31</v>
      </c>
      <c r="N193" s="23">
        <v>0.5</v>
      </c>
      <c r="O193" s="24">
        <f>TIMEVALUE([1]!Table1[[#This Row],[Malfunction end]])-TIMEVALUE([1]!Table1[[#This Row],[Start Malfn (T)]])</f>
        <v>2.083333333333337E-2</v>
      </c>
      <c r="P193" s="22">
        <v>44679</v>
      </c>
      <c r="Q193" s="20" t="s">
        <v>354</v>
      </c>
      <c r="R193" s="22">
        <v>44679</v>
      </c>
      <c r="S193" s="20" t="s">
        <v>258</v>
      </c>
      <c r="T193" s="20" t="s">
        <v>34</v>
      </c>
      <c r="U193" s="20" t="s">
        <v>58</v>
      </c>
    </row>
    <row r="194" spans="1:21" x14ac:dyDescent="0.25">
      <c r="A194" s="19" t="s">
        <v>787</v>
      </c>
      <c r="B194" s="20" t="s">
        <v>683</v>
      </c>
      <c r="C194" s="20" t="s">
        <v>761</v>
      </c>
      <c r="D194" t="str">
        <f t="shared" ref="D194:D214" si="6">MID(C194,9,3) &amp;"-"&amp; MID(C194,21,3)&amp;"0"</f>
        <v>579-4600</v>
      </c>
      <c r="E194" t="str">
        <f t="shared" ref="E194:E214" si="7">MID(C194,25,LEN(C194)-14)</f>
        <v>ELE-PNL-002</v>
      </c>
      <c r="F194" t="s">
        <v>54</v>
      </c>
      <c r="G194" t="s">
        <v>46</v>
      </c>
      <c r="H194" t="str">
        <f>_xlfn.XLOOKUP(Table6[[#This Row],[Description]],[1]Class!$A$4:$A$660,[1]Class!$G$4:$G$660,"",0,1)</f>
        <v>CVO</v>
      </c>
      <c r="I194" s="2" t="s">
        <v>28</v>
      </c>
      <c r="J194" s="20" t="s">
        <v>102</v>
      </c>
      <c r="K194" s="22">
        <v>44418</v>
      </c>
      <c r="L194" s="20" t="s">
        <v>30</v>
      </c>
      <c r="M194" s="20" t="s">
        <v>31</v>
      </c>
      <c r="N194" s="23">
        <v>0.33</v>
      </c>
      <c r="O194" s="24">
        <f>TIMEVALUE([1]!Table1[[#This Row],[Malfunction end]])-TIMEVALUE([1]!Table1[[#This Row],[Start Malfn (T)]])</f>
        <v>1.5972222222222221E-2</v>
      </c>
      <c r="P194" s="22">
        <v>44418</v>
      </c>
      <c r="Q194" s="20" t="s">
        <v>99</v>
      </c>
      <c r="R194" s="22">
        <v>44418</v>
      </c>
      <c r="S194" s="20" t="s">
        <v>788</v>
      </c>
      <c r="T194" s="20" t="s">
        <v>34</v>
      </c>
      <c r="U194" s="20" t="s">
        <v>58</v>
      </c>
    </row>
    <row r="195" spans="1:21" x14ac:dyDescent="0.25">
      <c r="A195" s="19" t="s">
        <v>789</v>
      </c>
      <c r="B195" s="20" t="s">
        <v>666</v>
      </c>
      <c r="C195" s="20" t="s">
        <v>761</v>
      </c>
      <c r="D195" t="str">
        <f t="shared" si="6"/>
        <v>579-4600</v>
      </c>
      <c r="E195" t="str">
        <f t="shared" si="7"/>
        <v>ELE-PNL-002</v>
      </c>
      <c r="F195" t="s">
        <v>54</v>
      </c>
      <c r="G195" t="s">
        <v>46</v>
      </c>
      <c r="H195" t="str">
        <f>_xlfn.XLOOKUP(Table6[[#This Row],[Description]],[1]Class!$A$4:$A$660,[1]Class!$G$4:$G$660,"",0,1)</f>
        <v>CVO</v>
      </c>
      <c r="I195" s="4" t="s">
        <v>28</v>
      </c>
      <c r="J195" s="20" t="s">
        <v>102</v>
      </c>
      <c r="K195" s="22">
        <v>44668</v>
      </c>
      <c r="L195" s="20" t="s">
        <v>30</v>
      </c>
      <c r="M195" s="20" t="s">
        <v>31</v>
      </c>
      <c r="N195" s="23">
        <v>0.5</v>
      </c>
      <c r="O195" s="24">
        <f>TIMEVALUE([1]!Table1[[#This Row],[Malfunction end]])-TIMEVALUE([1]!Table1[[#This Row],[Start Malfn (T)]])</f>
        <v>0.14048611111111109</v>
      </c>
      <c r="P195" s="22">
        <v>44668</v>
      </c>
      <c r="Q195" s="20" t="s">
        <v>237</v>
      </c>
      <c r="R195" s="22">
        <v>44668</v>
      </c>
      <c r="S195" s="20" t="s">
        <v>790</v>
      </c>
      <c r="T195" s="20" t="s">
        <v>34</v>
      </c>
      <c r="U195" s="20" t="s">
        <v>58</v>
      </c>
    </row>
    <row r="196" spans="1:21" x14ac:dyDescent="0.25">
      <c r="A196" s="19" t="s">
        <v>791</v>
      </c>
      <c r="B196" s="20" t="s">
        <v>666</v>
      </c>
      <c r="C196" s="20" t="s">
        <v>761</v>
      </c>
      <c r="D196" t="str">
        <f t="shared" si="6"/>
        <v>579-4600</v>
      </c>
      <c r="E196" t="str">
        <f t="shared" si="7"/>
        <v>ELE-PNL-002</v>
      </c>
      <c r="F196" t="s">
        <v>54</v>
      </c>
      <c r="G196" t="s">
        <v>46</v>
      </c>
      <c r="H196" t="str">
        <f>_xlfn.XLOOKUP(Table6[[#This Row],[Description]],[1]Class!$A$4:$A$660,[1]Class!$G$4:$G$660,"",0,1)</f>
        <v>CVO</v>
      </c>
      <c r="I196" s="2" t="s">
        <v>28</v>
      </c>
      <c r="J196" s="20" t="s">
        <v>102</v>
      </c>
      <c r="K196" s="22">
        <v>44539</v>
      </c>
      <c r="L196" s="20" t="s">
        <v>30</v>
      </c>
      <c r="M196" s="20" t="s">
        <v>31</v>
      </c>
      <c r="N196" s="23">
        <v>0.5</v>
      </c>
      <c r="O196" s="24">
        <f>TIMEVALUE([1]!Table1[[#This Row],[Malfunction end]])-TIMEVALUE([1]!Table1[[#This Row],[Start Malfn (T)]])</f>
        <v>6.9444444444444198E-3</v>
      </c>
      <c r="P196" s="22">
        <v>44539</v>
      </c>
      <c r="Q196" s="20" t="s">
        <v>792</v>
      </c>
      <c r="R196" s="22">
        <v>44539</v>
      </c>
      <c r="S196" s="20" t="s">
        <v>793</v>
      </c>
      <c r="T196" s="20" t="s">
        <v>34</v>
      </c>
      <c r="U196" s="20" t="s">
        <v>58</v>
      </c>
    </row>
    <row r="197" spans="1:21" x14ac:dyDescent="0.25">
      <c r="A197" s="19" t="s">
        <v>794</v>
      </c>
      <c r="B197" s="20" t="s">
        <v>666</v>
      </c>
      <c r="C197" s="20" t="s">
        <v>761</v>
      </c>
      <c r="D197" t="str">
        <f t="shared" si="6"/>
        <v>579-4600</v>
      </c>
      <c r="E197" t="str">
        <f t="shared" si="7"/>
        <v>ELE-PNL-002</v>
      </c>
      <c r="F197" t="s">
        <v>54</v>
      </c>
      <c r="G197" t="s">
        <v>46</v>
      </c>
      <c r="H197" t="str">
        <f>_xlfn.XLOOKUP(Table6[[#This Row],[Description]],[1]Class!$A$4:$A$660,[1]Class!$G$4:$G$660,"",0,1)</f>
        <v>CVO</v>
      </c>
      <c r="I197" s="2" t="s">
        <v>28</v>
      </c>
      <c r="J197" s="20" t="s">
        <v>102</v>
      </c>
      <c r="K197" s="22">
        <v>44732</v>
      </c>
      <c r="L197" s="20" t="s">
        <v>30</v>
      </c>
      <c r="M197" s="20" t="s">
        <v>31</v>
      </c>
      <c r="N197" s="23">
        <v>0.5</v>
      </c>
      <c r="O197" s="24">
        <f>TIMEVALUE([1]!Table1[[#This Row],[Malfunction end]])-TIMEVALUE([1]!Table1[[#This Row],[Start Malfn (T)]])</f>
        <v>-0.94700231481481478</v>
      </c>
      <c r="P197" s="22">
        <v>44732</v>
      </c>
      <c r="Q197" s="20" t="s">
        <v>795</v>
      </c>
      <c r="R197" s="22">
        <v>44732</v>
      </c>
      <c r="S197" s="20" t="s">
        <v>796</v>
      </c>
      <c r="T197" s="20" t="s">
        <v>34</v>
      </c>
      <c r="U197" s="20" t="s">
        <v>58</v>
      </c>
    </row>
    <row r="198" spans="1:21" x14ac:dyDescent="0.25">
      <c r="A198" s="19" t="s">
        <v>797</v>
      </c>
      <c r="B198" s="20" t="s">
        <v>798</v>
      </c>
      <c r="C198" s="20" t="s">
        <v>761</v>
      </c>
      <c r="D198" t="str">
        <f t="shared" si="6"/>
        <v>579-4600</v>
      </c>
      <c r="E198" t="str">
        <f t="shared" si="7"/>
        <v>ELE-PNL-002</v>
      </c>
      <c r="F198" t="s">
        <v>54</v>
      </c>
      <c r="G198" t="s">
        <v>27</v>
      </c>
      <c r="H198" t="str">
        <f>_xlfn.XLOOKUP(Table6[[#This Row],[Description]],[1]Class!$A$4:$A$660,[1]Class!$G$4:$G$660,"",0,1)</f>
        <v>Alignment</v>
      </c>
      <c r="I198" s="4" t="s">
        <v>28</v>
      </c>
      <c r="J198" s="20" t="s">
        <v>102</v>
      </c>
      <c r="K198" s="22">
        <v>44522</v>
      </c>
      <c r="L198" s="20" t="s">
        <v>30</v>
      </c>
      <c r="M198" s="20" t="s">
        <v>31</v>
      </c>
      <c r="N198" s="23">
        <v>2</v>
      </c>
      <c r="O198" s="24">
        <f>TIMEVALUE([1]!Table1[[#This Row],[Malfunction end]])-TIMEVALUE([1]!Table1[[#This Row],[Start Malfn (T)]])</f>
        <v>9.7222222222222987E-3</v>
      </c>
      <c r="P198" s="22">
        <v>44521</v>
      </c>
      <c r="Q198" s="20" t="s">
        <v>374</v>
      </c>
      <c r="R198" s="22">
        <v>44521</v>
      </c>
      <c r="S198" s="20" t="s">
        <v>799</v>
      </c>
      <c r="T198" s="20" t="s">
        <v>34</v>
      </c>
      <c r="U198" s="20" t="s">
        <v>58</v>
      </c>
    </row>
    <row r="199" spans="1:21" x14ac:dyDescent="0.25">
      <c r="A199" s="19" t="s">
        <v>800</v>
      </c>
      <c r="B199" s="20" t="s">
        <v>683</v>
      </c>
      <c r="C199" s="20" t="s">
        <v>761</v>
      </c>
      <c r="D199" t="str">
        <f t="shared" si="6"/>
        <v>579-4600</v>
      </c>
      <c r="E199" t="str">
        <f t="shared" si="7"/>
        <v>ELE-PNL-002</v>
      </c>
      <c r="F199" t="s">
        <v>54</v>
      </c>
      <c r="G199" t="s">
        <v>46</v>
      </c>
      <c r="H199" t="str">
        <f>_xlfn.XLOOKUP(Table6[[#This Row],[Description]],[1]Class!$A$4:$A$660,[1]Class!$G$4:$G$660,"",0,1)</f>
        <v>CVO</v>
      </c>
      <c r="I199" s="2" t="s">
        <v>28</v>
      </c>
      <c r="J199" s="20" t="s">
        <v>102</v>
      </c>
      <c r="K199" s="22">
        <v>45360</v>
      </c>
      <c r="L199" s="20" t="s">
        <v>30</v>
      </c>
      <c r="M199" s="20" t="s">
        <v>31</v>
      </c>
      <c r="N199" s="23">
        <v>0.5</v>
      </c>
      <c r="O199" s="24">
        <f>TIMEVALUE([1]!Table1[[#This Row],[Malfunction end]])-TIMEVALUE([1]!Table1[[#This Row],[Start Malfn (T)]])</f>
        <v>5.6712962962963132E-3</v>
      </c>
      <c r="P199" s="22">
        <v>45359</v>
      </c>
      <c r="Q199" s="20" t="s">
        <v>801</v>
      </c>
      <c r="R199" s="22">
        <v>45359</v>
      </c>
      <c r="S199" s="20" t="s">
        <v>802</v>
      </c>
      <c r="T199" s="20" t="s">
        <v>34</v>
      </c>
      <c r="U199" s="20" t="s">
        <v>58</v>
      </c>
    </row>
    <row r="200" spans="1:21" x14ac:dyDescent="0.25">
      <c r="A200" s="19" t="s">
        <v>803</v>
      </c>
      <c r="B200" s="20" t="s">
        <v>666</v>
      </c>
      <c r="C200" s="20" t="s">
        <v>761</v>
      </c>
      <c r="D200" t="str">
        <f t="shared" si="6"/>
        <v>579-4600</v>
      </c>
      <c r="E200" t="str">
        <f t="shared" si="7"/>
        <v>ELE-PNL-002</v>
      </c>
      <c r="F200" t="s">
        <v>54</v>
      </c>
      <c r="G200" t="s">
        <v>46</v>
      </c>
      <c r="H200" t="str">
        <f>_xlfn.XLOOKUP(Table6[[#This Row],[Description]],[1]Class!$A$4:$A$660,[1]Class!$G$4:$G$660,"",0,1)</f>
        <v>CVO</v>
      </c>
      <c r="I200" s="2" t="s">
        <v>28</v>
      </c>
      <c r="J200" s="20" t="s">
        <v>102</v>
      </c>
      <c r="K200" s="22">
        <v>44720</v>
      </c>
      <c r="L200" s="20" t="s">
        <v>30</v>
      </c>
      <c r="M200" s="20" t="s">
        <v>31</v>
      </c>
      <c r="N200" s="23">
        <v>0.5</v>
      </c>
      <c r="O200" s="24">
        <f>TIMEVALUE([1]!Table1[[#This Row],[Malfunction end]])-TIMEVALUE([1]!Table1[[#This Row],[Start Malfn (T)]])</f>
        <v>3.067129629629628E-3</v>
      </c>
      <c r="P200" s="22">
        <v>44720</v>
      </c>
      <c r="Q200" s="20" t="s">
        <v>804</v>
      </c>
      <c r="R200" s="22">
        <v>44720</v>
      </c>
      <c r="S200" s="20" t="s">
        <v>805</v>
      </c>
      <c r="T200" s="20" t="s">
        <v>34</v>
      </c>
      <c r="U200" s="20" t="s">
        <v>58</v>
      </c>
    </row>
    <row r="201" spans="1:21" x14ac:dyDescent="0.25">
      <c r="A201" s="19" t="s">
        <v>806</v>
      </c>
      <c r="B201" s="20" t="s">
        <v>690</v>
      </c>
      <c r="C201" s="20" t="s">
        <v>761</v>
      </c>
      <c r="D201" t="str">
        <f t="shared" si="6"/>
        <v>579-4600</v>
      </c>
      <c r="E201" t="str">
        <f t="shared" si="7"/>
        <v>ELE-PNL-002</v>
      </c>
      <c r="F201" t="s">
        <v>54</v>
      </c>
      <c r="G201" t="s">
        <v>46</v>
      </c>
      <c r="H201" t="str">
        <f>_xlfn.XLOOKUP(Table6[[#This Row],[Description]],[1]Class!$A$4:$A$660,[1]Class!$G$4:$G$660,"",0,1)</f>
        <v>CVO</v>
      </c>
      <c r="I201" s="4" t="s">
        <v>28</v>
      </c>
      <c r="J201" s="20" t="s">
        <v>102</v>
      </c>
      <c r="K201" s="22">
        <v>44337</v>
      </c>
      <c r="L201" s="20" t="s">
        <v>30</v>
      </c>
      <c r="M201" s="20" t="s">
        <v>31</v>
      </c>
      <c r="N201" s="23">
        <v>0.3</v>
      </c>
      <c r="O201" s="24">
        <f>TIMEVALUE([1]!Table1[[#This Row],[Malfunction end]])-TIMEVALUE([1]!Table1[[#This Row],[Start Malfn (T)]])</f>
        <v>2.083333333333337E-2</v>
      </c>
      <c r="P201" s="22">
        <v>44337</v>
      </c>
      <c r="Q201" s="20" t="s">
        <v>807</v>
      </c>
      <c r="R201" s="22">
        <v>44337</v>
      </c>
      <c r="S201" s="20" t="s">
        <v>808</v>
      </c>
      <c r="T201" s="20" t="s">
        <v>34</v>
      </c>
      <c r="U201" s="20" t="s">
        <v>58</v>
      </c>
    </row>
    <row r="202" spans="1:21" x14ac:dyDescent="0.25">
      <c r="A202" s="19" t="s">
        <v>809</v>
      </c>
      <c r="B202" s="20" t="s">
        <v>683</v>
      </c>
      <c r="C202" s="20" t="s">
        <v>761</v>
      </c>
      <c r="D202" t="str">
        <f t="shared" si="6"/>
        <v>579-4600</v>
      </c>
      <c r="E202" t="str">
        <f t="shared" si="7"/>
        <v>ELE-PNL-002</v>
      </c>
      <c r="F202" t="s">
        <v>54</v>
      </c>
      <c r="G202" t="s">
        <v>46</v>
      </c>
      <c r="H202" t="str">
        <f>_xlfn.XLOOKUP(Table6[[#This Row],[Description]],[1]Class!$A$4:$A$660,[1]Class!$G$4:$G$660,"",0,1)</f>
        <v>CVO</v>
      </c>
      <c r="I202" s="2" t="s">
        <v>28</v>
      </c>
      <c r="J202" s="20" t="s">
        <v>102</v>
      </c>
      <c r="K202" s="22">
        <v>44698</v>
      </c>
      <c r="L202" s="20" t="s">
        <v>30</v>
      </c>
      <c r="M202" s="20" t="s">
        <v>31</v>
      </c>
      <c r="N202" s="23">
        <v>0.5</v>
      </c>
      <c r="O202" s="24">
        <f>TIMEVALUE([1]!Table1[[#This Row],[Malfunction end]])-TIMEVALUE([1]!Table1[[#This Row],[Start Malfn (T)]])</f>
        <v>6.2500000000000888E-3</v>
      </c>
      <c r="P202" s="22">
        <v>44697</v>
      </c>
      <c r="Q202" s="20" t="s">
        <v>810</v>
      </c>
      <c r="R202" s="22">
        <v>44697</v>
      </c>
      <c r="S202" s="20" t="s">
        <v>811</v>
      </c>
      <c r="T202" s="20" t="s">
        <v>34</v>
      </c>
      <c r="U202" s="20" t="s">
        <v>58</v>
      </c>
    </row>
    <row r="203" spans="1:21" x14ac:dyDescent="0.25">
      <c r="A203" s="19" t="s">
        <v>812</v>
      </c>
      <c r="B203" s="20" t="s">
        <v>666</v>
      </c>
      <c r="C203" s="20" t="s">
        <v>761</v>
      </c>
      <c r="D203" t="str">
        <f t="shared" si="6"/>
        <v>579-4600</v>
      </c>
      <c r="E203" t="str">
        <f t="shared" si="7"/>
        <v>ELE-PNL-002</v>
      </c>
      <c r="F203" t="s">
        <v>54</v>
      </c>
      <c r="G203" t="s">
        <v>46</v>
      </c>
      <c r="H203" t="str">
        <f>_xlfn.XLOOKUP(Table6[[#This Row],[Description]],[1]Class!$A$4:$A$660,[1]Class!$G$4:$G$660,"",0,1)</f>
        <v>CVO</v>
      </c>
      <c r="I203" s="2" t="s">
        <v>28</v>
      </c>
      <c r="J203" s="20" t="s">
        <v>102</v>
      </c>
      <c r="K203" s="22">
        <v>44568</v>
      </c>
      <c r="L203" s="20" t="s">
        <v>30</v>
      </c>
      <c r="M203" s="20" t="s">
        <v>31</v>
      </c>
      <c r="N203" s="23">
        <v>0.5</v>
      </c>
      <c r="O203" s="24">
        <f>TIMEVALUE([1]!Table1[[#This Row],[Malfunction end]])-TIMEVALUE([1]!Table1[[#This Row],[Start Malfn (T)]])</f>
        <v>2.0833333333333259E-2</v>
      </c>
      <c r="P203" s="22">
        <v>44567</v>
      </c>
      <c r="Q203" s="20" t="s">
        <v>813</v>
      </c>
      <c r="R203" s="22">
        <v>44567</v>
      </c>
      <c r="S203" s="20" t="s">
        <v>814</v>
      </c>
      <c r="T203" s="20" t="s">
        <v>34</v>
      </c>
      <c r="U203" s="20" t="s">
        <v>58</v>
      </c>
    </row>
    <row r="204" spans="1:21" x14ac:dyDescent="0.25">
      <c r="A204" s="19" t="s">
        <v>815</v>
      </c>
      <c r="B204" s="20" t="s">
        <v>666</v>
      </c>
      <c r="C204" s="20" t="s">
        <v>761</v>
      </c>
      <c r="D204" t="str">
        <f t="shared" si="6"/>
        <v>579-4600</v>
      </c>
      <c r="E204" t="str">
        <f t="shared" si="7"/>
        <v>ELE-PNL-002</v>
      </c>
      <c r="F204" t="s">
        <v>54</v>
      </c>
      <c r="G204" t="s">
        <v>46</v>
      </c>
      <c r="H204" t="str">
        <f>_xlfn.XLOOKUP(Table6[[#This Row],[Description]],[1]Class!$A$4:$A$660,[1]Class!$G$4:$G$660,"",0,1)</f>
        <v>CVO</v>
      </c>
      <c r="I204" s="4" t="s">
        <v>28</v>
      </c>
      <c r="J204" s="20" t="s">
        <v>102</v>
      </c>
      <c r="K204" s="22">
        <v>44674</v>
      </c>
      <c r="L204" s="20" t="s">
        <v>30</v>
      </c>
      <c r="M204" s="20" t="s">
        <v>31</v>
      </c>
      <c r="N204" s="23">
        <v>0.5</v>
      </c>
      <c r="O204" s="24">
        <f>TIMEVALUE([1]!Table1[[#This Row],[Malfunction end]])-TIMEVALUE([1]!Table1[[#This Row],[Start Malfn (T)]])</f>
        <v>7.291666666666663E-2</v>
      </c>
      <c r="P204" s="22">
        <v>44674</v>
      </c>
      <c r="Q204" s="20" t="s">
        <v>816</v>
      </c>
      <c r="R204" s="22">
        <v>44674</v>
      </c>
      <c r="S204" s="20" t="s">
        <v>817</v>
      </c>
      <c r="T204" s="20" t="s">
        <v>34</v>
      </c>
      <c r="U204" s="20" t="s">
        <v>58</v>
      </c>
    </row>
    <row r="205" spans="1:21" x14ac:dyDescent="0.25">
      <c r="A205" s="19" t="s">
        <v>818</v>
      </c>
      <c r="B205" s="20" t="s">
        <v>683</v>
      </c>
      <c r="C205" s="20" t="s">
        <v>761</v>
      </c>
      <c r="D205" t="str">
        <f t="shared" si="6"/>
        <v>579-4600</v>
      </c>
      <c r="E205" t="str">
        <f t="shared" si="7"/>
        <v>ELE-PNL-002</v>
      </c>
      <c r="F205" t="s">
        <v>54</v>
      </c>
      <c r="G205" t="s">
        <v>46</v>
      </c>
      <c r="H205" t="str">
        <f>_xlfn.XLOOKUP(Table6[[#This Row],[Description]],[1]Class!$A$4:$A$660,[1]Class!$G$4:$G$660,"",0,1)</f>
        <v>CVO</v>
      </c>
      <c r="I205" s="2" t="s">
        <v>28</v>
      </c>
      <c r="J205" s="20" t="s">
        <v>102</v>
      </c>
      <c r="K205" s="22">
        <v>44409</v>
      </c>
      <c r="L205" s="20" t="s">
        <v>30</v>
      </c>
      <c r="M205" s="20" t="s">
        <v>31</v>
      </c>
      <c r="N205" s="23">
        <v>0.5</v>
      </c>
      <c r="O205" s="24">
        <f>TIMEVALUE([1]!Table1[[#This Row],[Malfunction end]])-TIMEVALUE([1]!Table1[[#This Row],[Start Malfn (T)]])</f>
        <v>1.3888888888888951E-2</v>
      </c>
      <c r="P205" s="22">
        <v>44409</v>
      </c>
      <c r="Q205" s="20" t="s">
        <v>819</v>
      </c>
      <c r="R205" s="22">
        <v>44409</v>
      </c>
      <c r="S205" s="20" t="s">
        <v>820</v>
      </c>
      <c r="T205" s="20" t="s">
        <v>34</v>
      </c>
      <c r="U205" s="20" t="s">
        <v>58</v>
      </c>
    </row>
    <row r="206" spans="1:21" x14ac:dyDescent="0.25">
      <c r="A206" s="19" t="s">
        <v>821</v>
      </c>
      <c r="B206" s="20" t="s">
        <v>683</v>
      </c>
      <c r="C206" s="20" t="s">
        <v>761</v>
      </c>
      <c r="D206" t="str">
        <f t="shared" si="6"/>
        <v>579-4600</v>
      </c>
      <c r="E206" t="str">
        <f t="shared" si="7"/>
        <v>ELE-PNL-002</v>
      </c>
      <c r="F206" t="s">
        <v>54</v>
      </c>
      <c r="G206" t="s">
        <v>46</v>
      </c>
      <c r="H206" t="str">
        <f>_xlfn.XLOOKUP(Table6[[#This Row],[Description]],[1]Class!$A$4:$A$660,[1]Class!$G$4:$G$660,"",0,1)</f>
        <v>CVO</v>
      </c>
      <c r="I206" s="2" t="s">
        <v>28</v>
      </c>
      <c r="J206" s="20" t="s">
        <v>102</v>
      </c>
      <c r="K206" s="22">
        <v>44451</v>
      </c>
      <c r="L206" s="20" t="s">
        <v>30</v>
      </c>
      <c r="M206" s="20" t="s">
        <v>31</v>
      </c>
      <c r="N206" s="23">
        <v>0.3</v>
      </c>
      <c r="O206" s="24">
        <f>TIMEVALUE([1]!Table1[[#This Row],[Malfunction end]])-TIMEVALUE([1]!Table1[[#This Row],[Start Malfn (T)]])</f>
        <v>2.0833333333333315E-2</v>
      </c>
      <c r="P206" s="22">
        <v>44451</v>
      </c>
      <c r="Q206" s="20" t="s">
        <v>822</v>
      </c>
      <c r="R206" s="22">
        <v>44451</v>
      </c>
      <c r="S206" s="20" t="s">
        <v>823</v>
      </c>
      <c r="T206" s="20" t="s">
        <v>34</v>
      </c>
      <c r="U206" s="20" t="s">
        <v>58</v>
      </c>
    </row>
    <row r="207" spans="1:21" x14ac:dyDescent="0.25">
      <c r="A207" s="19" t="s">
        <v>824</v>
      </c>
      <c r="B207" s="20" t="s">
        <v>666</v>
      </c>
      <c r="C207" s="20" t="s">
        <v>761</v>
      </c>
      <c r="D207" t="str">
        <f t="shared" si="6"/>
        <v>579-4600</v>
      </c>
      <c r="E207" t="str">
        <f t="shared" si="7"/>
        <v>ELE-PNL-002</v>
      </c>
      <c r="F207" t="s">
        <v>54</v>
      </c>
      <c r="G207" t="s">
        <v>46</v>
      </c>
      <c r="H207" t="str">
        <f>_xlfn.XLOOKUP(Table6[[#This Row],[Description]],[1]Class!$A$4:$A$660,[1]Class!$G$4:$G$660,"",0,1)</f>
        <v>CVO</v>
      </c>
      <c r="I207" s="4" t="s">
        <v>28</v>
      </c>
      <c r="J207" s="20" t="s">
        <v>102</v>
      </c>
      <c r="K207" s="22">
        <v>44620</v>
      </c>
      <c r="L207" s="20" t="s">
        <v>30</v>
      </c>
      <c r="M207" s="20" t="s">
        <v>31</v>
      </c>
      <c r="N207" s="23">
        <v>0.5</v>
      </c>
      <c r="O207" s="24">
        <f>TIMEVALUE([1]!Table1[[#This Row],[Malfunction end]])-TIMEVALUE([1]!Table1[[#This Row],[Start Malfn (T)]])</f>
        <v>2.0833333333333329E-2</v>
      </c>
      <c r="P207" s="22">
        <v>44620</v>
      </c>
      <c r="Q207" s="20" t="s">
        <v>825</v>
      </c>
      <c r="R207" s="22">
        <v>44620</v>
      </c>
      <c r="S207" s="20" t="s">
        <v>826</v>
      </c>
      <c r="T207" s="20" t="s">
        <v>34</v>
      </c>
      <c r="U207" s="20" t="s">
        <v>58</v>
      </c>
    </row>
    <row r="208" spans="1:21" x14ac:dyDescent="0.25">
      <c r="A208" s="19" t="s">
        <v>827</v>
      </c>
      <c r="B208" s="20" t="s">
        <v>828</v>
      </c>
      <c r="C208" s="20" t="s">
        <v>829</v>
      </c>
      <c r="D208" t="str">
        <f t="shared" si="6"/>
        <v>579-4600</v>
      </c>
      <c r="E208" t="str">
        <f t="shared" si="7"/>
        <v>ELE-SWH-001</v>
      </c>
      <c r="F208" t="s">
        <v>54</v>
      </c>
      <c r="G208" t="s">
        <v>46</v>
      </c>
      <c r="H208" t="str">
        <f>_xlfn.XLOOKUP(Table6[[#This Row],[Description]],[1]Class!$A$4:$A$660,[1]Class!$G$4:$G$660,"",0,1)</f>
        <v>Blockchute</v>
      </c>
      <c r="I208" s="2" t="s">
        <v>28</v>
      </c>
      <c r="J208" s="20" t="s">
        <v>373</v>
      </c>
      <c r="K208" s="22">
        <v>44758</v>
      </c>
      <c r="L208" s="20" t="s">
        <v>30</v>
      </c>
      <c r="M208" s="20" t="s">
        <v>31</v>
      </c>
      <c r="N208" s="23">
        <v>0.83</v>
      </c>
      <c r="O208" s="24">
        <f>TIMEVALUE([1]!Table1[[#This Row],[Malfunction end]])-TIMEVALUE([1]!Table1[[#This Row],[Start Malfn (T)]])</f>
        <v>4.166666666666663E-2</v>
      </c>
      <c r="P208" s="22">
        <v>44758</v>
      </c>
      <c r="Q208" s="20" t="s">
        <v>830</v>
      </c>
      <c r="R208" s="22">
        <v>44758</v>
      </c>
      <c r="S208" s="20" t="s">
        <v>831</v>
      </c>
      <c r="T208" s="20" t="s">
        <v>34</v>
      </c>
      <c r="U208" s="20" t="s">
        <v>58</v>
      </c>
    </row>
    <row r="209" spans="1:21" x14ac:dyDescent="0.25">
      <c r="A209" s="19" t="s">
        <v>832</v>
      </c>
      <c r="B209" s="20" t="s">
        <v>7</v>
      </c>
      <c r="C209" s="20" t="s">
        <v>829</v>
      </c>
      <c r="D209" t="str">
        <f t="shared" si="6"/>
        <v>579-4600</v>
      </c>
      <c r="E209" t="str">
        <f t="shared" si="7"/>
        <v>ELE-SWH-001</v>
      </c>
      <c r="F209" t="s">
        <v>54</v>
      </c>
      <c r="G209" t="s">
        <v>46</v>
      </c>
      <c r="H209" t="str">
        <f>_xlfn.XLOOKUP(Table6[[#This Row],[Description]],[1]Class!$A$4:$A$660,[1]Class!$G$4:$G$660,"",0,1)</f>
        <v>Underspeed</v>
      </c>
      <c r="I209" s="2" t="s">
        <v>28</v>
      </c>
      <c r="J209" s="20" t="s">
        <v>39</v>
      </c>
      <c r="K209" s="22">
        <v>45058</v>
      </c>
      <c r="L209" s="20" t="s">
        <v>30</v>
      </c>
      <c r="M209" s="20" t="s">
        <v>31</v>
      </c>
      <c r="N209" s="23">
        <v>6.5</v>
      </c>
      <c r="O209" s="24">
        <f>TIMEVALUE([1]!Table1[[#This Row],[Malfunction end]])-TIMEVALUE([1]!Table1[[#This Row],[Start Malfn (T)]])</f>
        <v>0.12513888888888891</v>
      </c>
      <c r="P209" s="22">
        <v>45057</v>
      </c>
      <c r="Q209" s="20" t="s">
        <v>112</v>
      </c>
      <c r="R209" s="22">
        <v>45058</v>
      </c>
      <c r="S209" s="20" t="s">
        <v>67</v>
      </c>
      <c r="T209" s="20" t="s">
        <v>34</v>
      </c>
      <c r="U209" s="20" t="s">
        <v>58</v>
      </c>
    </row>
    <row r="210" spans="1:21" x14ac:dyDescent="0.25">
      <c r="A210" s="19" t="s">
        <v>833</v>
      </c>
      <c r="B210" s="20" t="s">
        <v>250</v>
      </c>
      <c r="C210" s="20" t="s">
        <v>829</v>
      </c>
      <c r="D210" t="str">
        <f t="shared" si="6"/>
        <v>579-4600</v>
      </c>
      <c r="E210" t="str">
        <f t="shared" si="7"/>
        <v>ELE-SWH-001</v>
      </c>
      <c r="F210" t="s">
        <v>54</v>
      </c>
      <c r="G210" t="s">
        <v>46</v>
      </c>
      <c r="H210" t="str">
        <f>_xlfn.XLOOKUP(Table6[[#This Row],[Description]],[1]Class!$A$4:$A$660,[1]Class!$G$4:$G$660,"",0,1)</f>
        <v>Underspeed</v>
      </c>
      <c r="I210" s="4" t="s">
        <v>28</v>
      </c>
      <c r="J210" s="20" t="s">
        <v>29</v>
      </c>
      <c r="K210" s="22">
        <v>44542</v>
      </c>
      <c r="L210" s="20" t="s">
        <v>30</v>
      </c>
      <c r="M210" s="20" t="s">
        <v>31</v>
      </c>
      <c r="N210" s="23">
        <v>0.26</v>
      </c>
      <c r="O210" s="24">
        <f>TIMEVALUE([1]!Table1[[#This Row],[Malfunction end]])-TIMEVALUE([1]!Table1[[#This Row],[Start Malfn (T)]])</f>
        <v>0.12839120370370372</v>
      </c>
      <c r="P210" s="22">
        <v>44542</v>
      </c>
      <c r="Q210" s="20" t="s">
        <v>834</v>
      </c>
      <c r="R210" s="22">
        <v>44542</v>
      </c>
      <c r="S210" s="20" t="s">
        <v>835</v>
      </c>
      <c r="T210" s="20" t="s">
        <v>34</v>
      </c>
      <c r="U210" s="20" t="s">
        <v>58</v>
      </c>
    </row>
    <row r="211" spans="1:21" x14ac:dyDescent="0.25">
      <c r="A211" s="19" t="s">
        <v>836</v>
      </c>
      <c r="B211" s="20" t="s">
        <v>497</v>
      </c>
      <c r="C211" s="20" t="s">
        <v>829</v>
      </c>
      <c r="D211" t="str">
        <f t="shared" si="6"/>
        <v>579-4600</v>
      </c>
      <c r="E211" t="str">
        <f t="shared" si="7"/>
        <v>ELE-SWH-001</v>
      </c>
      <c r="F211" t="s">
        <v>54</v>
      </c>
      <c r="G211" t="s">
        <v>46</v>
      </c>
      <c r="H211" t="str">
        <f>_xlfn.XLOOKUP(Table6[[#This Row],[Description]],[1]Class!$A$4:$A$660,[1]Class!$G$4:$G$660,"",0,1)</f>
        <v>CVO</v>
      </c>
      <c r="I211" s="2" t="s">
        <v>28</v>
      </c>
      <c r="J211" s="20" t="s">
        <v>47</v>
      </c>
      <c r="K211" s="22">
        <v>44587</v>
      </c>
      <c r="L211" s="20" t="s">
        <v>30</v>
      </c>
      <c r="M211" s="20" t="s">
        <v>31</v>
      </c>
      <c r="N211" s="23">
        <v>1.0900000000000001</v>
      </c>
      <c r="O211" s="24">
        <f>TIMEVALUE([1]!Table1[[#This Row],[Malfunction end]])-TIMEVALUE([1]!Table1[[#This Row],[Start Malfn (T)]])</f>
        <v>7.7777777777777724E-2</v>
      </c>
      <c r="P211" s="22">
        <v>44587</v>
      </c>
      <c r="Q211" s="20" t="s">
        <v>837</v>
      </c>
      <c r="R211" s="22">
        <v>44587</v>
      </c>
      <c r="S211" s="20" t="s">
        <v>838</v>
      </c>
      <c r="T211" s="20" t="s">
        <v>34</v>
      </c>
      <c r="U211" s="20" t="s">
        <v>58</v>
      </c>
    </row>
    <row r="212" spans="1:21" x14ac:dyDescent="0.25">
      <c r="A212" s="19" t="s">
        <v>839</v>
      </c>
      <c r="B212" s="20" t="s">
        <v>840</v>
      </c>
      <c r="C212" s="20" t="s">
        <v>841</v>
      </c>
      <c r="D212" t="str">
        <f t="shared" si="6"/>
        <v>579-4600</v>
      </c>
      <c r="E212" t="str">
        <f t="shared" si="7"/>
        <v>HYD-VLV-001</v>
      </c>
      <c r="F212" t="s">
        <v>414</v>
      </c>
      <c r="G212" t="s">
        <v>414</v>
      </c>
      <c r="H212" t="str">
        <f>_xlfn.XLOOKUP(Table6[[#This Row],[Description]],[1]Class!$A$4:$A$660,[1]Class!$G$4:$G$660,"",0,1)</f>
        <v/>
      </c>
      <c r="I212" s="2" t="s">
        <v>28</v>
      </c>
      <c r="J212" s="20" t="s">
        <v>331</v>
      </c>
      <c r="K212" s="22">
        <v>45519</v>
      </c>
      <c r="L212" s="20" t="s">
        <v>30</v>
      </c>
      <c r="M212" s="20" t="s">
        <v>31</v>
      </c>
      <c r="N212" s="23">
        <v>3.23</v>
      </c>
      <c r="O212" s="24">
        <f>TIMEVALUE([1]!Table1[[#This Row],[Malfunction end]])-TIMEVALUE([1]!Table1[[#This Row],[Start Malfn (T)]])</f>
        <v>4.6076388888888875E-2</v>
      </c>
      <c r="P212" s="22">
        <v>45519</v>
      </c>
      <c r="Q212" s="20" t="s">
        <v>842</v>
      </c>
      <c r="R212" s="22">
        <v>45519</v>
      </c>
      <c r="S212" s="20" t="s">
        <v>57</v>
      </c>
      <c r="T212" s="20" t="s">
        <v>34</v>
      </c>
      <c r="U212" s="20" t="s">
        <v>411</v>
      </c>
    </row>
    <row r="213" spans="1:21" x14ac:dyDescent="0.25">
      <c r="A213" s="19" t="s">
        <v>843</v>
      </c>
      <c r="B213" s="20" t="s">
        <v>844</v>
      </c>
      <c r="C213" s="20" t="s">
        <v>845</v>
      </c>
      <c r="D213" t="str">
        <f t="shared" si="6"/>
        <v>579-4600</v>
      </c>
      <c r="E213" t="str">
        <f t="shared" si="7"/>
        <v>PUL-007</v>
      </c>
      <c r="F213" t="s">
        <v>159</v>
      </c>
      <c r="G213" t="s">
        <v>159</v>
      </c>
      <c r="H213" t="str">
        <f>_xlfn.XLOOKUP(Table6[[#This Row],[Description]],[1]Class!$A$4:$A$660,[1]Class!$G$4:$G$660,"",0,1)</f>
        <v/>
      </c>
      <c r="I213" s="4" t="s">
        <v>28</v>
      </c>
      <c r="J213" s="20" t="s">
        <v>505</v>
      </c>
      <c r="K213" s="22">
        <v>44305</v>
      </c>
      <c r="L213" s="20" t="s">
        <v>30</v>
      </c>
      <c r="M213" s="20" t="s">
        <v>31</v>
      </c>
      <c r="N213" s="23">
        <v>7.01</v>
      </c>
      <c r="O213" s="24">
        <f>TIMEVALUE([1]!Table1[[#This Row],[Malfunction end]])-TIMEVALUE([1]!Table1[[#This Row],[Start Malfn (T)]])</f>
        <v>1.5254629629629646E-2</v>
      </c>
      <c r="P213" s="22">
        <v>44304</v>
      </c>
      <c r="Q213" s="20" t="s">
        <v>846</v>
      </c>
      <c r="R213" s="22">
        <v>44305</v>
      </c>
      <c r="S213" s="20" t="s">
        <v>847</v>
      </c>
      <c r="T213" s="20" t="s">
        <v>34</v>
      </c>
      <c r="U213" s="20" t="s">
        <v>411</v>
      </c>
    </row>
    <row r="214" spans="1:21" x14ac:dyDescent="0.25">
      <c r="A214" s="19" t="s">
        <v>848</v>
      </c>
      <c r="B214" s="20" t="s">
        <v>463</v>
      </c>
      <c r="C214" s="20" t="s">
        <v>849</v>
      </c>
      <c r="D214" t="str">
        <f t="shared" si="6"/>
        <v>579-4600</v>
      </c>
      <c r="E214" t="str">
        <f t="shared" si="7"/>
        <v>SCA-001</v>
      </c>
      <c r="F214" t="s">
        <v>465</v>
      </c>
      <c r="G214" t="s">
        <v>465</v>
      </c>
      <c r="H214" t="str">
        <f>_xlfn.XLOOKUP(Table6[[#This Row],[Description]],[1]Class!$A$4:$A$660,[1]Class!$G$4:$G$660,"",0,1)</f>
        <v/>
      </c>
      <c r="I214" s="2" t="s">
        <v>28</v>
      </c>
      <c r="J214" s="20" t="s">
        <v>47</v>
      </c>
      <c r="K214" s="22">
        <v>44404</v>
      </c>
      <c r="L214" s="20" t="s">
        <v>30</v>
      </c>
      <c r="M214" s="20" t="s">
        <v>31</v>
      </c>
      <c r="N214" s="23">
        <v>0.51</v>
      </c>
      <c r="O214" s="24">
        <f>TIMEVALUE([1]!Table1[[#This Row],[Malfunction end]])-TIMEVALUE([1]!Table1[[#This Row],[Start Malfn (T)]])</f>
        <v>6.9444444444444753E-3</v>
      </c>
      <c r="P214" s="22">
        <v>44404</v>
      </c>
      <c r="Q214" s="20" t="s">
        <v>850</v>
      </c>
      <c r="R214" s="22">
        <v>44404</v>
      </c>
      <c r="S214" s="20" t="s">
        <v>851</v>
      </c>
      <c r="T214" s="20" t="s">
        <v>34</v>
      </c>
      <c r="U214" s="20" t="s">
        <v>411</v>
      </c>
    </row>
    <row r="216" spans="1:21" x14ac:dyDescent="0.25">
      <c r="G216">
        <f>COUNTIF(Table6[[#All],[Equipment Downtime ]],"Scraper")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Botha</dc:creator>
  <cp:lastModifiedBy>Armand Botha</cp:lastModifiedBy>
  <dcterms:created xsi:type="dcterms:W3CDTF">2015-06-05T18:17:20Z</dcterms:created>
  <dcterms:modified xsi:type="dcterms:W3CDTF">2025-09-15T13:11:55Z</dcterms:modified>
</cp:coreProperties>
</file>